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hidePivotFieldList="1" defaultThemeVersion="166925"/>
  <mc:AlternateContent xmlns:mc="http://schemas.openxmlformats.org/markup-compatibility/2006">
    <mc:Choice Requires="x15">
      <x15ac:absPath xmlns:x15ac="http://schemas.microsoft.com/office/spreadsheetml/2010/11/ac" url="/Users/hadilsahraoui/Desktop/"/>
    </mc:Choice>
  </mc:AlternateContent>
  <xr:revisionPtr revIDLastSave="0" documentId="8_{91EB7BD2-2609-C54C-A5B8-FD432D414935}" xr6:coauthVersionLast="47" xr6:coauthVersionMax="47" xr10:uidLastSave="{00000000-0000-0000-0000-000000000000}"/>
  <bookViews>
    <workbookView xWindow="0" yWindow="0" windowWidth="28800" windowHeight="18000" xr2:uid="{00000000-000D-0000-FFFF-FFFF00000000}"/>
  </bookViews>
  <sheets>
    <sheet name="Dashboard" sheetId="21" r:id="rId1"/>
    <sheet name="orders" sheetId="17" r:id="rId2"/>
    <sheet name="customers" sheetId="13" r:id="rId3"/>
    <sheet name="products" sheetId="2" r:id="rId4"/>
    <sheet name="Form1" sheetId="22" r:id="rId5"/>
  </sheets>
  <definedNames>
    <definedName name="_xlnm._FilterDatabase" localSheetId="1" hidden="1">orders!$A$1:$M$1001</definedName>
    <definedName name="_xlnm._FilterDatabase" localSheetId="3" hidden="1">products!$A$1:$G$49</definedName>
    <definedName name="NativeTimeline_Order_Date1">#N/A</definedName>
    <definedName name="Slicer_Loyalty_Card1">#N/A</definedName>
    <definedName name="Slicer_Roast_Type_Name1">#N/A</definedName>
    <definedName name="Slicer_Size1">#N/A</definedName>
  </definedNames>
  <calcPr calcId="191028"/>
  <extLst>
    <ext xmlns:x14="http://schemas.microsoft.com/office/spreadsheetml/2009/9/main" uri="{876F7934-8845-4945-9796-88D515C7AA90}">
      <x14:pivotCaches>
        <pivotCache cacheId="20" r:id="rId6"/>
      </x14:pivotCaches>
    </ex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N4" i="17"/>
  <c r="N12" i="17"/>
  <c r="N112" i="17"/>
  <c r="N184" i="17"/>
  <c r="N392" i="17"/>
  <c r="N446" i="17"/>
  <c r="N602" i="17"/>
  <c r="N654" i="17"/>
  <c r="M8" i="17"/>
  <c r="M36" i="17"/>
  <c r="M40" i="17"/>
  <c r="M64" i="17"/>
  <c r="M68" i="17"/>
  <c r="M92" i="17"/>
  <c r="M96" i="17"/>
  <c r="M122" i="17"/>
  <c r="M124" i="17"/>
  <c r="M148" i="17"/>
  <c r="M154" i="17"/>
  <c r="M178" i="17"/>
  <c r="M180" i="17"/>
  <c r="M208" i="17"/>
  <c r="M210" i="17"/>
  <c r="M234" i="17"/>
  <c r="M240" i="17"/>
  <c r="M264" i="17"/>
  <c r="M266" i="17"/>
  <c r="M292" i="17"/>
  <c r="M296" i="17"/>
  <c r="M320" i="17"/>
  <c r="M324" i="17"/>
  <c r="M346" i="17"/>
  <c r="M348" i="17"/>
  <c r="M372" i="17"/>
  <c r="M394" i="17"/>
  <c r="M420" i="17"/>
  <c r="M444" i="17"/>
  <c r="M466" i="17"/>
  <c r="M470" i="17"/>
  <c r="M488" i="17"/>
  <c r="M490" i="17"/>
  <c r="M510" i="17"/>
  <c r="M522" i="17"/>
  <c r="M542" i="17"/>
  <c r="M544" i="17"/>
  <c r="M562" i="17"/>
  <c r="M576" i="17"/>
  <c r="M594" i="17"/>
  <c r="M608" i="17"/>
  <c r="M626" i="17"/>
  <c r="M630" i="17"/>
  <c r="M648" i="17"/>
  <c r="M662" i="17"/>
  <c r="M680" i="17"/>
  <c r="M694" i="17"/>
  <c r="M712" i="17"/>
  <c r="M714" i="17"/>
  <c r="M734" i="17"/>
  <c r="M746" i="17"/>
  <c r="M766" i="17"/>
  <c r="M778" i="17"/>
  <c r="M798" i="17"/>
  <c r="M800" i="17"/>
  <c r="M818" i="17"/>
  <c r="M830" i="17"/>
  <c r="M832" i="17"/>
  <c r="M842" i="17"/>
  <c r="M848" i="17"/>
  <c r="M858" i="17"/>
  <c r="M862" i="17"/>
  <c r="M872" i="17"/>
  <c r="M874" i="17"/>
  <c r="M886" i="17"/>
  <c r="M890" i="17"/>
  <c r="M902" i="17"/>
  <c r="M904" i="17"/>
  <c r="M914" i="17"/>
  <c r="M918" i="17"/>
  <c r="M928" i="17"/>
  <c r="M934" i="17"/>
  <c r="M944" i="17"/>
  <c r="M946" i="17"/>
  <c r="M958" i="17"/>
  <c r="M968" i="17"/>
  <c r="M982" i="17"/>
  <c r="M984" i="17"/>
  <c r="M994" i="17"/>
  <c r="M996" i="17"/>
  <c r="I3" i="17"/>
  <c r="N3" i="17" s="1"/>
  <c r="J3" i="17"/>
  <c r="O3" i="17" s="1"/>
  <c r="K3" i="17"/>
  <c r="L3" i="17"/>
  <c r="M3" i="17" s="1"/>
  <c r="I4" i="17"/>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I9" i="17"/>
  <c r="N9" i="17" s="1"/>
  <c r="J9" i="17"/>
  <c r="O9" i="17" s="1"/>
  <c r="K9" i="17"/>
  <c r="L9" i="17"/>
  <c r="M9" i="17" s="1"/>
  <c r="I10" i="17"/>
  <c r="N10" i="17" s="1"/>
  <c r="J10" i="17"/>
  <c r="O10" i="17" s="1"/>
  <c r="K10" i="17"/>
  <c r="L10" i="17"/>
  <c r="M10" i="17" s="1"/>
  <c r="I11" i="17"/>
  <c r="N11" i="17" s="1"/>
  <c r="J11" i="17"/>
  <c r="O11" i="17" s="1"/>
  <c r="K11" i="17"/>
  <c r="L11" i="17"/>
  <c r="M11" i="17" s="1"/>
  <c r="I12" i="17"/>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I123" i="17"/>
  <c r="N123" i="17" s="1"/>
  <c r="J123" i="17"/>
  <c r="O123" i="17" s="1"/>
  <c r="K123" i="17"/>
  <c r="L123" i="17"/>
  <c r="M123" i="17" s="1"/>
  <c r="I124" i="17"/>
  <c r="N124" i="17" s="1"/>
  <c r="J124" i="17"/>
  <c r="O124" i="17" s="1"/>
  <c r="K124" i="17"/>
  <c r="L124" i="17"/>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I179" i="17"/>
  <c r="N179" i="17" s="1"/>
  <c r="J179" i="17"/>
  <c r="O179" i="17" s="1"/>
  <c r="K179" i="17"/>
  <c r="L179" i="17"/>
  <c r="M179" i="17" s="1"/>
  <c r="I180" i="17"/>
  <c r="N180" i="17" s="1"/>
  <c r="J180" i="17"/>
  <c r="O180" i="17" s="1"/>
  <c r="K180" i="17"/>
  <c r="L180" i="17"/>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I209" i="17"/>
  <c r="N209" i="17" s="1"/>
  <c r="J209" i="17"/>
  <c r="O209" i="17" s="1"/>
  <c r="K209" i="17"/>
  <c r="L209" i="17"/>
  <c r="M209" i="17" s="1"/>
  <c r="I210" i="17"/>
  <c r="N210" i="17" s="1"/>
  <c r="J210" i="17"/>
  <c r="O210" i="17" s="1"/>
  <c r="K210" i="17"/>
  <c r="L210" i="17"/>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I265" i="17"/>
  <c r="N265" i="17" s="1"/>
  <c r="J265" i="17"/>
  <c r="O265" i="17" s="1"/>
  <c r="K265" i="17"/>
  <c r="L265" i="17"/>
  <c r="M265" i="17" s="1"/>
  <c r="I266" i="17"/>
  <c r="N266" i="17" s="1"/>
  <c r="J266" i="17"/>
  <c r="O266" i="17" s="1"/>
  <c r="K266" i="17"/>
  <c r="L266" i="17"/>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I347" i="17"/>
  <c r="N347" i="17" s="1"/>
  <c r="J347" i="17"/>
  <c r="O347" i="17" s="1"/>
  <c r="K347" i="17"/>
  <c r="L347" i="17"/>
  <c r="M347" i="17" s="1"/>
  <c r="I348" i="17"/>
  <c r="N348" i="17" s="1"/>
  <c r="J348" i="17"/>
  <c r="O348" i="17" s="1"/>
  <c r="K348" i="17"/>
  <c r="L348" i="17"/>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J392" i="17"/>
  <c r="O392" i="17" s="1"/>
  <c r="K392" i="17"/>
  <c r="L392" i="17"/>
  <c r="M392" i="17" s="1"/>
  <c r="I393" i="17"/>
  <c r="N393" i="17" s="1"/>
  <c r="J393" i="17"/>
  <c r="O393" i="17" s="1"/>
  <c r="K393" i="17"/>
  <c r="L393" i="17"/>
  <c r="M393" i="17" s="1"/>
  <c r="I394" i="17"/>
  <c r="N394" i="17" s="1"/>
  <c r="J394" i="17"/>
  <c r="O394" i="17" s="1"/>
  <c r="K394" i="17"/>
  <c r="L394" i="17"/>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I445" i="17"/>
  <c r="N445" i="17" s="1"/>
  <c r="J445" i="17"/>
  <c r="O445" i="17" s="1"/>
  <c r="K445" i="17"/>
  <c r="L445" i="17"/>
  <c r="M445" i="17" s="1"/>
  <c r="I446" i="17"/>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I489" i="17"/>
  <c r="N489" i="17" s="1"/>
  <c r="J489" i="17"/>
  <c r="O489" i="17" s="1"/>
  <c r="K489" i="17"/>
  <c r="L489" i="17"/>
  <c r="M489" i="17" s="1"/>
  <c r="I490" i="17"/>
  <c r="N490" i="17" s="1"/>
  <c r="J490" i="17"/>
  <c r="O490" i="17" s="1"/>
  <c r="K490" i="17"/>
  <c r="L490" i="17"/>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I543" i="17"/>
  <c r="N543" i="17" s="1"/>
  <c r="J543" i="17"/>
  <c r="O543" i="17" s="1"/>
  <c r="K543" i="17"/>
  <c r="L543" i="17"/>
  <c r="M543" i="17" s="1"/>
  <c r="I544" i="17"/>
  <c r="N544" i="17" s="1"/>
  <c r="J544" i="17"/>
  <c r="O544" i="17" s="1"/>
  <c r="K544" i="17"/>
  <c r="L544" i="17"/>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I713" i="17"/>
  <c r="N713" i="17" s="1"/>
  <c r="J713" i="17"/>
  <c r="O713" i="17" s="1"/>
  <c r="K713" i="17"/>
  <c r="L713" i="17"/>
  <c r="M713" i="17" s="1"/>
  <c r="I714" i="17"/>
  <c r="N714" i="17" s="1"/>
  <c r="J714" i="17"/>
  <c r="O714" i="17" s="1"/>
  <c r="K714" i="17"/>
  <c r="L714" i="17"/>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I799" i="17"/>
  <c r="N799" i="17" s="1"/>
  <c r="J799" i="17"/>
  <c r="O799" i="17" s="1"/>
  <c r="K799" i="17"/>
  <c r="L799" i="17"/>
  <c r="M799" i="17" s="1"/>
  <c r="I800" i="17"/>
  <c r="N800" i="17" s="1"/>
  <c r="J800" i="17"/>
  <c r="O800" i="17" s="1"/>
  <c r="K800" i="17"/>
  <c r="L800" i="17"/>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I831" i="17"/>
  <c r="N831" i="17" s="1"/>
  <c r="J831" i="17"/>
  <c r="O831" i="17" s="1"/>
  <c r="K831" i="17"/>
  <c r="L831" i="17"/>
  <c r="M831" i="17" s="1"/>
  <c r="I832" i="17"/>
  <c r="N832" i="17" s="1"/>
  <c r="J832" i="17"/>
  <c r="O832" i="17" s="1"/>
  <c r="K832" i="17"/>
  <c r="L832" i="17"/>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I873" i="17"/>
  <c r="N873" i="17" s="1"/>
  <c r="J873" i="17"/>
  <c r="O873" i="17" s="1"/>
  <c r="K873" i="17"/>
  <c r="L873" i="17"/>
  <c r="M873" i="17" s="1"/>
  <c r="I874" i="17"/>
  <c r="N874" i="17" s="1"/>
  <c r="J874" i="17"/>
  <c r="O874" i="17" s="1"/>
  <c r="K874" i="17"/>
  <c r="L874" i="17"/>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I903" i="17"/>
  <c r="N903" i="17" s="1"/>
  <c r="J903" i="17"/>
  <c r="O903" i="17" s="1"/>
  <c r="K903" i="17"/>
  <c r="L903" i="17"/>
  <c r="M903" i="17" s="1"/>
  <c r="I904" i="17"/>
  <c r="N904" i="17" s="1"/>
  <c r="J904" i="17"/>
  <c r="O904" i="17" s="1"/>
  <c r="K904" i="17"/>
  <c r="L904" i="17"/>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I945" i="17"/>
  <c r="N945" i="17" s="1"/>
  <c r="J945" i="17"/>
  <c r="O945" i="17" s="1"/>
  <c r="K945" i="17"/>
  <c r="L945" i="17"/>
  <c r="M945" i="17" s="1"/>
  <c r="I946" i="17"/>
  <c r="N946" i="17" s="1"/>
  <c r="J946" i="17"/>
  <c r="O946" i="17" s="1"/>
  <c r="K946" i="17"/>
  <c r="L946" i="17"/>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I983" i="17"/>
  <c r="N983" i="17" s="1"/>
  <c r="J983" i="17"/>
  <c r="O983" i="17" s="1"/>
  <c r="K983" i="17"/>
  <c r="L983" i="17"/>
  <c r="M983" i="17" s="1"/>
  <c r="I984" i="17"/>
  <c r="N984" i="17" s="1"/>
  <c r="J984" i="17"/>
  <c r="O984" i="17" s="1"/>
  <c r="K984" i="17"/>
  <c r="L984" i="17"/>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I995" i="17"/>
  <c r="N995" i="17" s="1"/>
  <c r="J995" i="17"/>
  <c r="O995" i="17" s="1"/>
  <c r="K995" i="17"/>
  <c r="L995" i="17"/>
  <c r="M995" i="17" s="1"/>
  <c r="I996" i="17"/>
  <c r="N996" i="17" s="1"/>
  <c r="J996" i="17"/>
  <c r="O996" i="17" s="1"/>
  <c r="K996" i="17"/>
  <c r="L996" i="17"/>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3" i="17"/>
  <c r="F4" i="17"/>
  <c r="F5" i="17"/>
  <c r="F6" i="17"/>
  <c r="F7" i="17"/>
  <c r="F8" i="17"/>
  <c r="F9" i="17"/>
  <c r="F10" i="17"/>
  <c r="F11" i="17"/>
  <c r="F12" i="17"/>
  <c r="F13" i="17"/>
  <c r="F14" i="17"/>
  <c r="F15" i="17"/>
  <c r="F2" i="17"/>
</calcChain>
</file>

<file path=xl/sharedStrings.xml><?xml version="1.0" encoding="utf-8"?>
<sst xmlns="http://schemas.openxmlformats.org/spreadsheetml/2006/main" count="11065" uniqueCount="6202">
  <si>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</si>
  <si>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</si>
  <si>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</si>
  <si>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</si>
  <si>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</si>
  <si>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</si>
  <si>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</si>
  <si>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</si>
  <si>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</si>
  <si>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</si>
  <si>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</si>
  <si>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</si>
  <si>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</si>
  <si>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</si>
  <si>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</si>
  <si>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</si>
  <si>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</si>
  <si>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</si>
  <si>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</si>
  <si>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</si>
  <si>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</si>
  <si>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</si>
  <si>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</si>
  <si>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</si>
  <si>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</si>
  <si>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</si>
  <si>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</si>
  <si>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</si>
  <si>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</si>
  <si>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</si>
  <si>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</si>
  <si>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</si>
  <si>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</si>
  <si>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</si>
  <si>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</si>
  <si>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</si>
  <si>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</si>
  <si>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</si>
  <si>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</si>
  <si>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</si>
  <si>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</si>
  <si>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</si>
  <si>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</si>
  <si>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</si>
  <si>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</si>
  <si>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</si>
  <si>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</si>
  <si>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</si>
  <si>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</si>
  <si>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</si>
  <si>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</si>
  <si>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</si>
  <si>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</si>
  <si>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</si>
  <si>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</si>
  <si>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</si>
  <si>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</si>
  <si>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</si>
  <si>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</si>
  <si>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</si>
  <si>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</si>
  <si>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</si>
  <si>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</si>
  <si>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</si>
  <si>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</si>
  <si>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</si>
  <si>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</si>
  <si>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</si>
  <si>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</si>
  <si>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</si>
  <si>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</si>
  <si>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</si>
  <si>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</si>
  <si>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</si>
  <si>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</si>
  <si>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</si>
  <si>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</si>
  <si>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</si>
  <si>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</si>
  <si>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</si>
  <si>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</si>
  <si>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</si>
  <si>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</si>
  <si>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</si>
  <si>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</si>
  <si>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</si>
  <si>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</si>
  <si>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</si>
  <si>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</si>
  <si>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</si>
  <si>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</si>
  <si>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</si>
  <si>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</si>
  <si>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</si>
  <si>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</si>
  <si>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</si>
  <si>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</si>
  <si>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</si>
  <si>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</si>
  <si>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</si>
  <si>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</si>
  <si>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</si>
  <si>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</si>
  <si>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</si>
  <si>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</si>
  <si>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</si>
  <si>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</si>
  <si>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</si>
  <si>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</si>
  <si>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</si>
  <si>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</si>
  <si>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</si>
  <si>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</si>
  <si>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</si>
  <si>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</si>
  <si>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</si>
  <si>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</si>
  <si>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</si>
  <si>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</si>
  <si>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</si>
  <si>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</si>
  <si>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</si>
  <si>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</si>
  <si>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</si>
  <si>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</si>
  <si>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</si>
  <si>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</si>
  <si>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</si>
  <si>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</si>
  <si>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</si>
  <si>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</si>
  <si>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</si>
  <si>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</si>
  <si>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</si>
  <si>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</si>
  <si>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</si>
  <si>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</si>
  <si>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</si>
  <si>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</si>
  <si>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</si>
  <si>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</si>
  <si>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</si>
  <si>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</si>
  <si>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</si>
  <si>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</si>
  <si>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</si>
  <si>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</si>
  <si>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</si>
  <si>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</si>
  <si>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</si>
  <si>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</si>
  <si>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</si>
  <si>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</si>
  <si>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</si>
  <si>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</si>
  <si>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</si>
  <si>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</si>
  <si>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</si>
  <si>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</si>
  <si>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</si>
  <si>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</si>
  <si>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</si>
  <si>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</si>
  <si>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</si>
  <si>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</si>
  <si>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</si>
  <si>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</si>
  <si>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</si>
  <si>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</si>
  <si>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</si>
  <si>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</si>
  <si>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</si>
  <si>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</si>
  <si>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</si>
  <si>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</si>
  <si>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</si>
  <si>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</si>
  <si>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</si>
  <si>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</si>
  <si>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</si>
  <si>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</si>
  <si>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</si>
  <si>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</si>
  <si>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</si>
  <si>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</si>
  <si>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</si>
  <si>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</si>
  <si>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</si>
  <si>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</si>
  <si>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</si>
  <si>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</si>
  <si>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</si>
  <si>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</si>
  <si>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</si>
  <si>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</si>
  <si>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</si>
  <si>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</si>
  <si>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</si>
  <si>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</si>
  <si>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</si>
  <si>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</si>
  <si>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</si>
  <si>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</si>
  <si>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</si>
  <si>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</si>
  <si>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</si>
  <si>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</si>
  <si>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</si>
  <si>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</si>
  <si>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</si>
  <si>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</si>
  <si>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</si>
  <si>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</si>
  <si>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</si>
  <si>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</si>
  <si>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</si>
  <si>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</si>
  <si>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</si>
  <si>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</si>
  <si>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</si>
  <si>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</si>
  <si>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</si>
  <si>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</si>
  <si>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</si>
  <si>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</si>
  <si>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</si>
  <si>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</si>
  <si>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</si>
  <si>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</si>
  <si>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</si>
  <si>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</si>
  <si>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</si>
  <si>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</si>
  <si>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</si>
  <si>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</si>
  <si>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</si>
  <si>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</si>
  <si>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</si>
  <si>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</si>
  <si>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</si>
  <si>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</si>
  <si>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</si>
  <si>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</si>
  <si>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</si>
  <si>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</si>
  <si>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</si>
  <si>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</si>
  <si>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</si>
  <si>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</si>
  <si>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</si>
  <si>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</si>
  <si>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</si>
  <si>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</si>
  <si>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</si>
  <si>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</si>
  <si>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</si>
  <si>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</si>
  <si>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</si>
  <si>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</si>
  <si>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</si>
  <si>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</si>
  <si>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</si>
  <si>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</si>
  <si>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</si>
  <si>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</si>
  <si>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</si>
  <si>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</si>
  <si>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</si>
  <si>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</si>
  <si>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</si>
  <si>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</si>
  <si>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</si>
  <si>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</si>
  <si>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</si>
  <si>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</si>
  <si>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</si>
  <si>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</si>
  <si>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</si>
  <si>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</si>
  <si>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</si>
  <si>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</si>
  <si>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</si>
  <si>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</si>
  <si>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</si>
  <si>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</si>
  <si>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</si>
  <si>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</si>
  <si>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</si>
  <si>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</si>
  <si>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</si>
  <si>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</si>
  <si>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</si>
  <si>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</si>
  <si>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</si>
  <si>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</si>
  <si>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</si>
  <si>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</si>
  <si>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</si>
  <si>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</si>
  <si>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</si>
  <si>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</si>
  <si>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</si>
  <si>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</si>
  <si>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</si>
  <si>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</si>
  <si>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</si>
  <si>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</si>
  <si>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</si>
  <si>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</si>
  <si>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</si>
  <si>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</si>
  <si>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</si>
  <si>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</si>
  <si>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</si>
  <si>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</si>
  <si>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</si>
  <si>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</si>
  <si>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</si>
  <si>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</si>
  <si>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</si>
  <si>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</si>
  <si>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</si>
  <si>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</si>
  <si>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</si>
  <si>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</si>
  <si>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</si>
  <si>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</si>
  <si>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</si>
  <si>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</si>
  <si>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</si>
  <si>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</si>
  <si>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</si>
  <si>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</si>
  <si>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</si>
  <si>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</si>
  <si>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</si>
  <si>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</si>
  <si>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</si>
  <si>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</si>
  <si>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</si>
  <si>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</si>
  <si>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</si>
  <si>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</si>
  <si>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</si>
  <si>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</si>
  <si>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</si>
  <si>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</si>
  <si>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</si>
  <si>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</si>
  <si>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</si>
  <si>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</si>
  <si>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</si>
  <si>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</si>
  <si>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</si>
  <si>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</si>
  <si>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</si>
  <si>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</si>
  <si>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</si>
  <si>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</si>
  <si>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</si>
  <si>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</si>
  <si>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</si>
  <si>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</si>
  <si>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</si>
  <si>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</si>
  <si>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</si>
  <si>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</si>
  <si>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</si>
  <si>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</si>
  <si>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</si>
  <si>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</si>
  <si>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</si>
  <si>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</si>
  <si>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</si>
  <si>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</si>
  <si>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</si>
  <si>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</si>
  <si>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</si>
  <si>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</si>
  <si>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</si>
  <si>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</si>
  <si>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</si>
  <si>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</si>
  <si>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</si>
  <si>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</si>
  <si>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</si>
  <si>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</si>
  <si>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</si>
  <si>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</si>
  <si>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</si>
  <si>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</si>
  <si>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</si>
  <si>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</si>
  <si>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</si>
  <si>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</si>
  <si>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</si>
  <si>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</si>
  <si>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</si>
  <si>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</si>
  <si>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</si>
  <si>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</si>
  <si>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</si>
  <si>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</si>
  <si>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</si>
  <si>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</si>
  <si>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</si>
  <si>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</si>
  <si>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</si>
  <si>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</si>
  <si>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</si>
  <si>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</si>
  <si>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</si>
  <si>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</si>
  <si>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</si>
  <si>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</si>
  <si>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</si>
  <si>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</si>
  <si>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</si>
  <si>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</si>
  <si>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</si>
  <si>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</si>
  <si>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</si>
  <si>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</si>
  <si>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</si>
  <si>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</si>
  <si>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</si>
  <si>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</si>
  <si>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</si>
  <si>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</si>
  <si>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</si>
  <si>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</si>
  <si>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</si>
  <si>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</si>
  <si>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</si>
  <si>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</si>
  <si>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</si>
  <si>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</si>
  <si>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</si>
  <si>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</si>
  <si>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</si>
  <si>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</si>
  <si>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</si>
  <si>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</si>
  <si>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</si>
  <si>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</si>
  <si>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</si>
  <si>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</si>
  <si>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</si>
  <si>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</si>
  <si>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</si>
  <si>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</si>
  <si>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</si>
  <si>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</si>
  <si>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</si>
  <si>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</si>
  <si>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</si>
  <si>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</si>
  <si>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</si>
  <si>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</si>
  <si>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</si>
  <si>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</si>
  <si>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</si>
  <si>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</si>
  <si>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</si>
  <si>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</si>
  <si>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</si>
  <si>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</si>
  <si>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</si>
  <si>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</si>
  <si>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</si>
  <si>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</si>
  <si>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</si>
  <si>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</si>
  <si>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</si>
  <si>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</si>
  <si>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</si>
  <si>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</si>
  <si>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</si>
  <si>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</si>
  <si>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</si>
  <si>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</si>
  <si>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</si>
  <si>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</si>
  <si>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</si>
  <si>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</si>
  <si>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</si>
  <si>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</si>
  <si>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</si>
  <si>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</si>
  <si>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</si>
  <si>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</si>
  <si>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</si>
  <si>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</si>
  <si>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</si>
  <si>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</si>
  <si>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</si>
  <si>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</si>
  <si>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</si>
  <si>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</si>
  <si>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</si>
  <si>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</si>
  <si>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</si>
  <si>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</si>
  <si>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</si>
  <si>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</si>
  <si>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</si>
  <si>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</si>
  <si>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</si>
  <si>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</si>
  <si>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</si>
  <si>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</si>
  <si>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</si>
  <si>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</si>
  <si>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</si>
  <si>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</si>
  <si>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</si>
  <si>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</si>
  <si>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</si>
  <si>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</si>
  <si>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</si>
  <si>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</si>
  <si>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</si>
  <si>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</si>
  <si>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</si>
  <si>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</si>
  <si>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</si>
  <si>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</si>
  <si>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</si>
  <si>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</si>
  <si>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</si>
  <si>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</si>
  <si>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</si>
  <si>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</si>
  <si>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</si>
  <si>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</si>
  <si>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</si>
  <si>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</si>
  <si>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</si>
  <si>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</si>
  <si>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</si>
  <si>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</si>
  <si>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</si>
  <si>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</si>
  <si>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</si>
  <si>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</si>
  <si>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</si>
  <si>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</si>
  <si>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</si>
  <si>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</si>
  <si>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</si>
  <si>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</si>
  <si>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</si>
  <si>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</si>
  <si>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</si>
  <si>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</si>
  <si>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</si>
  <si>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</si>
  <si>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</si>
  <si>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</si>
  <si>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</si>
  <si>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</si>
  <si>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</si>
  <si>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</si>
  <si>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</si>
  <si>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</si>
  <si>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</si>
  <si>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</si>
  <si>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</si>
  <si>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</si>
  <si>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</si>
  <si>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</si>
  <si>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</si>
  <si>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</si>
  <si>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</si>
  <si>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</si>
  <si>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</si>
  <si>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</si>
  <si>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</si>
  <si>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</si>
  <si>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</si>
  <si>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</si>
  <si>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</si>
  <si>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</si>
  <si>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</si>
  <si>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</si>
  <si>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</si>
  <si>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</si>
  <si>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</si>
  <si>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</si>
  <si>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</si>
  <si>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</si>
  <si>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</si>
  <si>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</si>
  <si>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</si>
  <si>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</si>
  <si>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</si>
  <si>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</si>
  <si>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</si>
  <si>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</si>
  <si>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</si>
  <si>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</si>
  <si>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</si>
  <si>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</si>
  <si>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</si>
  <si>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</si>
  <si>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</si>
  <si>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</si>
  <si>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</si>
  <si>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</si>
  <si>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</si>
  <si>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</si>
  <si>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</si>
  <si>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</si>
  <si>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</si>
  <si>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</si>
  <si>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</si>
  <si>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</si>
  <si>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</si>
  <si>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</si>
  <si>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</si>
  <si>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</si>
  <si>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</si>
  <si>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</si>
  <si>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</si>
  <si>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</si>
  <si>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</si>
  <si>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</si>
  <si>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</si>
  <si>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</si>
  <si>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</si>
  <si>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</si>
  <si>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</si>
  <si>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</si>
  <si>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</si>
  <si>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</si>
  <si>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</si>
  <si>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</si>
  <si>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</si>
  <si>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</si>
  <si>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</si>
  <si>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</si>
  <si>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</si>
  <si>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</si>
  <si>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</si>
  <si>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</si>
  <si>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</si>
  <si>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</si>
  <si>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</si>
  <si>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</si>
  <si>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</si>
  <si>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</si>
  <si>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</si>
  <si>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</si>
  <si>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</si>
  <si>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</si>
  <si>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</si>
  <si>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</si>
  <si>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</si>
  <si>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</si>
  <si>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</si>
  <si>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</si>
  <si>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</si>
  <si>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</si>
  <si>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</si>
  <si>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</si>
  <si>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</si>
  <si>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</si>
  <si>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</si>
  <si>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</si>
  <si>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</si>
  <si>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</si>
  <si>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</si>
  <si>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</si>
  <si>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</si>
  <si>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</si>
  <si>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</si>
  <si>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</si>
  <si>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</si>
  <si>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</si>
  <si>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</si>
  <si>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</si>
  <si>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</si>
  <si>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</si>
  <si>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</si>
  <si>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</si>
  <si>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</si>
  <si>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</si>
  <si>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</si>
  <si>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</si>
  <si>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</si>
  <si>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</si>
  <si>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</si>
  <si>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</si>
  <si>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</si>
  <si>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</si>
  <si>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</si>
  <si>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</si>
  <si>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</si>
  <si>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</si>
  <si>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</si>
  <si>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</si>
  <si>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</si>
  <si>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</si>
  <si>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</si>
  <si>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</si>
  <si>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</si>
  <si>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</si>
  <si>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</si>
  <si>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</si>
  <si>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</si>
  <si>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</si>
  <si>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</si>
  <si>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</si>
  <si>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</si>
  <si>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</si>
  <si>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</si>
  <si>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</si>
  <si>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</si>
  <si>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</si>
  <si>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</si>
  <si>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</si>
  <si>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</si>
  <si>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</si>
  <si>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</si>
  <si>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</si>
  <si>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</si>
  <si>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</si>
  <si>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</si>
  <si>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</si>
  <si>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</si>
  <si>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</si>
  <si>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</si>
  <si>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</si>
  <si>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</si>
  <si>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</si>
  <si>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</si>
  <si>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</si>
  <si>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</si>
  <si>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</si>
  <si>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</si>
  <si>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</si>
  <si>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</si>
  <si>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</si>
  <si>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</si>
  <si>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</si>
  <si>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</si>
  <si>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</si>
  <si>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</si>
  <si>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</si>
  <si>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</si>
  <si>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</si>
  <si>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</si>
  <si>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</si>
  <si>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</si>
  <si>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</si>
  <si>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</si>
  <si>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</si>
  <si>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</si>
  <si>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</si>
  <si>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</si>
  <si>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</si>
  <si>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</si>
  <si>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</si>
  <si>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</si>
  <si>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</si>
  <si>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</si>
  <si>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</si>
  <si>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</si>
  <si>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</si>
  <si>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</si>
  <si>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</si>
  <si>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</si>
  <si>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</si>
  <si>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</si>
  <si>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</si>
  <si>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</si>
  <si>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</si>
  <si>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</si>
  <si>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</si>
  <si>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</si>
  <si>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</si>
  <si>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</si>
  <si>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</si>
  <si>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</si>
  <si>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</si>
  <si>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</si>
  <si>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</si>
  <si>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</si>
  <si>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</si>
  <si>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</si>
  <si>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</si>
  <si>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</si>
  <si>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</si>
  <si>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</si>
  <si>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</si>
  <si>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</si>
  <si>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</si>
  <si>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</si>
  <si>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</si>
  <si>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</si>
  <si>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</si>
  <si>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</si>
  <si>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</si>
  <si>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</si>
  <si>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</si>
  <si>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</si>
  <si>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</si>
  <si>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</si>
  <si>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</si>
  <si>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</si>
  <si>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</si>
  <si>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</si>
  <si>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</si>
  <si>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</si>
  <si>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</si>
  <si>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</si>
  <si>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</si>
  <si>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</si>
  <si>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</si>
  <si>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</si>
  <si>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</si>
  <si>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</si>
  <si>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</si>
  <si>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</si>
  <si>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</si>
  <si>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</si>
  <si>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</si>
  <si>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</si>
  <si>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</si>
  <si>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</si>
  <si>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</si>
  <si>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</si>
  <si>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</si>
  <si>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</si>
  <si>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</si>
  <si>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</si>
  <si>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</si>
  <si>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</si>
  <si>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</si>
  <si>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</si>
  <si>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</si>
  <si>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</si>
  <si>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</si>
  <si>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</si>
  <si>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</si>
  <si>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</si>
  <si>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</si>
  <si>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</si>
  <si>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</si>
  <si>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</si>
  <si>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</si>
  <si>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</si>
  <si>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</si>
  <si>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</si>
  <si>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</si>
  <si>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</si>
  <si>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</si>
  <si>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</si>
  <si>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</si>
  <si>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</si>
  <si>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</si>
  <si>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</si>
  <si>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</si>
  <si>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</si>
  <si>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</si>
  <si>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</si>
  <si>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</si>
  <si>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</si>
  <si>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</si>
  <si>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</si>
  <si>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</si>
  <si>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</si>
  <si>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</si>
  <si>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</si>
  <si>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</si>
  <si>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</si>
  <si>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</si>
  <si>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</si>
  <si>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</si>
  <si>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</si>
  <si>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</si>
  <si>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</si>
  <si>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</si>
  <si>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</si>
  <si>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</si>
  <si>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</si>
  <si>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</si>
  <si>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</si>
  <si>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</si>
  <si>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</si>
  <si>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</si>
  <si>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</si>
  <si>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</si>
  <si>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</si>
  <si>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</si>
  <si>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</si>
  <si>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</si>
  <si>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</si>
  <si>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</si>
  <si>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</si>
  <si>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</si>
  <si>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</si>
  <si>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</si>
  <si>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</si>
  <si>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</si>
  <si>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</si>
  <si>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</si>
  <si>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</si>
  <si>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</si>
  <si>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</si>
  <si>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</si>
  <si>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</si>
  <si>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</si>
  <si>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</si>
  <si>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</si>
  <si>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</si>
  <si>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</si>
  <si>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</si>
  <si>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</si>
  <si>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</si>
  <si>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</si>
  <si>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</si>
  <si>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</si>
  <si>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</si>
  <si>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</si>
  <si>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</si>
  <si>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</si>
  <si>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</si>
  <si>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</si>
  <si>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</si>
  <si>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</si>
  <si>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</si>
  <si>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</si>
  <si>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</si>
  <si>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</si>
  <si>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</si>
  <si>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</si>
  <si>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</si>
  <si>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</si>
  <si>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</si>
  <si>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</si>
  <si>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</si>
  <si>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</si>
  <si>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</si>
  <si>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</si>
  <si>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</si>
  <si>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</si>
  <si>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</si>
  <si>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</si>
  <si>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</si>
  <si>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</si>
  <si>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</si>
  <si>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</si>
  <si>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</si>
  <si>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</si>
  <si>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</si>
  <si>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</si>
  <si>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</si>
  <si>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</si>
  <si>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</si>
  <si>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</si>
  <si>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</si>
  <si>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</si>
  <si>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</si>
  <si>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</si>
  <si>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</si>
  <si>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</si>
  <si>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</si>
  <si>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</si>
  <si>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</si>
  <si>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</si>
  <si>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</si>
  <si>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</si>
  <si>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</si>
  <si>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</si>
  <si>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</si>
  <si>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</si>
  <si>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</si>
  <si>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</si>
  <si>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</si>
  <si>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</si>
  <si>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</si>
  <si>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</si>
  <si>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</si>
  <si>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</si>
  <si>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</si>
  <si>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</si>
  <si>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</si>
  <si>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</si>
  <si>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</si>
  <si>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</si>
  <si>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</si>
  <si>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</si>
  <si>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</si>
  <si>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</si>
  <si>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</si>
  <si>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</si>
  <si>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</si>
  <si>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</si>
  <si>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</si>
  <si>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</si>
  <si>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</si>
  <si>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</si>
  <si>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</si>
  <si>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</si>
  <si>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</si>
  <si>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</si>
  <si>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</si>
  <si>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</si>
  <si>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</si>
  <si>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</si>
  <si>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</si>
  <si>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</si>
  <si>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</si>
  <si>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</si>
  <si>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</si>
  <si>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</si>
  <si>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</si>
  <si>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</si>
  <si>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</si>
  <si>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</si>
  <si>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</si>
  <si>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</si>
  <si>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</si>
  <si>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</si>
  <si>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</si>
  <si>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</si>
  <si>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</si>
  <si>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</si>
  <si>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</si>
  <si>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</si>
  <si>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</si>
  <si>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</si>
  <si>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</si>
  <si>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</si>
  <si>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</si>
  <si>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</si>
  <si>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</si>
  <si>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</si>
  <si>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</si>
  <si>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</si>
  <si>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</si>
  <si>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</si>
  <si>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</si>
  <si>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</si>
  <si>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</si>
  <si>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</si>
  <si>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</si>
  <si>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</si>
  <si>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</si>
  <si>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</si>
  <si>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</si>
  <si>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</si>
  <si>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</si>
  <si>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</si>
  <si>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</si>
  <si>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</si>
  <si>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</si>
  <si>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</si>
  <si>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</si>
  <si>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</si>
  <si>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</si>
  <si>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</si>
  <si>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</si>
  <si>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</si>
  <si>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</si>
  <si>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</si>
  <si>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</si>
  <si>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</si>
  <si>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</si>
  <si>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</si>
  <si>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</si>
  <si>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</si>
  <si>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</si>
  <si>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</si>
  <si>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</si>
  <si>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</si>
  <si>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</si>
  <si>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</si>
  <si>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</si>
  <si>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</si>
  <si>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</si>
  <si>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</si>
  <si>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</si>
  <si>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</si>
  <si>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</si>
  <si>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</si>
  <si>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</si>
  <si>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</si>
  <si>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</si>
  <si>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</si>
  <si>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</si>
  <si>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</si>
  <si>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</si>
  <si>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</si>
  <si>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</si>
  <si>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</si>
  <si>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</si>
  <si>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</si>
  <si>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</si>
  <si>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</si>
  <si>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</si>
  <si>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</si>
  <si>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</si>
  <si>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</si>
  <si>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</si>
  <si>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</si>
  <si>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</si>
  <si>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</si>
  <si>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</si>
  <si>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</si>
  <si>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</si>
  <si>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</si>
  <si>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</si>
  <si>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</si>
  <si>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</si>
  <si>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</si>
  <si>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</si>
  <si>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</si>
  <si>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</si>
  <si>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</si>
  <si>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</si>
  <si>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</si>
  <si>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</si>
  <si>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</si>
  <si>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</si>
  <si>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</si>
  <si>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</si>
  <si>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</si>
  <si>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</si>
  <si>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</si>
  <si>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</si>
  <si>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</si>
  <si>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</si>
  <si>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</si>
  <si>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</si>
  <si>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</si>
  <si>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</si>
  <si>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</si>
  <si>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</si>
  <si>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</si>
  <si>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</si>
  <si>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</si>
  <si>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</si>
  <si>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</si>
  <si>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</si>
  <si>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</si>
  <si>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</si>
  <si>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</si>
  <si>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</si>
  <si>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</si>
  <si>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</si>
  <si>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</si>
  <si>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</si>
  <si>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</si>
  <si>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</si>
  <si>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</si>
  <si>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</si>
  <si>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</si>
  <si>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</si>
  <si>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</si>
  <si>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</si>
  <si>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</si>
  <si>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</si>
  <si>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</si>
  <si>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</si>
  <si>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</si>
  <si>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</si>
  <si>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</si>
  <si>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</si>
  <si>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</si>
  <si>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</si>
  <si>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</si>
  <si>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</si>
  <si>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</si>
  <si>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</si>
  <si>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</si>
  <si>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</si>
  <si>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</si>
  <si>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</si>
  <si>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</si>
  <si>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</si>
  <si>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</si>
  <si>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</si>
  <si>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</si>
  <si>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</si>
  <si>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</si>
  <si>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</si>
  <si>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</si>
  <si>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</si>
  <si>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</si>
  <si>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</si>
  <si>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</si>
  <si>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</si>
  <si>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</si>
  <si>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</si>
  <si>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</si>
  <si>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</si>
  <si>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</si>
  <si>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</si>
  <si>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</si>
  <si>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</si>
  <si>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</si>
  <si>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</si>
  <si>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</si>
  <si>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</si>
  <si>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</si>
  <si>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</si>
  <si>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</si>
  <si>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</si>
  <si>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</si>
  <si>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</si>
  <si>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</si>
  <si>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</si>
  <si>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</si>
  <si>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</si>
  <si>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</si>
  <si>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</si>
  <si>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</si>
  <si>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</si>
  <si>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</si>
  <si>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</si>
  <si>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</si>
  <si>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</si>
  <si>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</si>
  <si>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</si>
  <si>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</si>
  <si>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</si>
  <si>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</si>
  <si>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</si>
  <si>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</si>
  <si>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</si>
  <si>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</si>
  <si>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</si>
  <si>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</si>
  <si>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</si>
  <si>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</si>
  <si>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</si>
  <si>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</si>
  <si>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</si>
  <si>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</si>
  <si>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</si>
  <si>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</si>
  <si>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</si>
  <si>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</si>
  <si>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</si>
  <si>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</si>
  <si>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</si>
  <si>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</si>
  <si>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</si>
  <si>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</si>
  <si>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</si>
  <si>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</si>
  <si>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</si>
  <si>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</si>
  <si>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</si>
  <si>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</si>
  <si>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</si>
  <si>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</si>
  <si>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</si>
  <si>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</si>
  <si>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</si>
  <si>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</si>
  <si>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</si>
  <si>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</si>
  <si>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</si>
  <si>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</si>
  <si>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</si>
  <si>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</si>
  <si>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</si>
  <si>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</si>
  <si>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</si>
  <si>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</si>
  <si>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</si>
  <si>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</si>
  <si>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</si>
  <si>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</si>
  <si>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</si>
  <si>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</si>
  <si>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</si>
  <si>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</si>
  <si>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</si>
  <si>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</si>
  <si>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</si>
  <si>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</si>
  <si>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</si>
  <si>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</si>
  <si>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</si>
  <si>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</si>
  <si>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</si>
  <si>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</si>
  <si>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</si>
  <si>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</si>
  <si>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</si>
  <si>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</si>
  <si>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</si>
  <si>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</si>
  <si>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</si>
  <si>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</si>
  <si>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</si>
  <si>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</si>
  <si>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</si>
  <si>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</si>
  <si>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</si>
  <si>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</si>
  <si>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</si>
  <si>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</si>
  <si>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</si>
  <si>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</si>
  <si>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</si>
  <si>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</si>
  <si>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</si>
  <si>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</si>
  <si>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</si>
  <si>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</si>
  <si>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</si>
  <si>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</si>
  <si>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</si>
  <si>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</si>
  <si>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</si>
  <si>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</si>
  <si>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</si>
  <si>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</si>
  <si>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</si>
  <si>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</si>
  <si>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</si>
  <si>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</si>
  <si>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</si>
  <si>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</si>
  <si>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</si>
  <si>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</si>
  <si>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</si>
  <si>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</si>
  <si>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</si>
  <si>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</si>
  <si>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</si>
  <si>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</si>
  <si>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</si>
  <si>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</si>
  <si>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</si>
  <si>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</si>
  <si>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</si>
  <si>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</si>
  <si>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</si>
  <si>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</si>
  <si>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</si>
  <si>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</si>
  <si>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</si>
  <si>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</si>
  <si>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</si>
  <si>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</si>
  <si>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</si>
  <si>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</si>
  <si>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</si>
  <si>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</si>
  <si>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</si>
  <si>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</si>
  <si>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</si>
  <si>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</si>
  <si>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</si>
  <si>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</si>
  <si>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</si>
  <si>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</si>
  <si>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</si>
  <si>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</si>
  <si>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</si>
  <si>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</si>
  <si>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</si>
  <si>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</si>
  <si>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</si>
  <si>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</si>
  <si>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</si>
  <si>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</si>
  <si>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</si>
  <si>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</si>
  <si>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</si>
  <si>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</si>
  <si>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</si>
  <si>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</si>
  <si>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</si>
  <si>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</si>
  <si>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</si>
  <si>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</si>
  <si>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</si>
  <si>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</si>
  <si>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</si>
  <si>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</si>
  <si>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</si>
  <si>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</si>
  <si>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</si>
  <si>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</si>
  <si>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</si>
  <si>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</si>
  <si>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</si>
  <si>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</si>
  <si>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</si>
  <si>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</si>
  <si>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</si>
  <si>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</si>
  <si>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</si>
  <si>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</si>
  <si>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</si>
  <si>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</si>
  <si>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</si>
  <si>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</si>
  <si>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</si>
  <si>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</si>
  <si>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</si>
  <si>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</si>
  <si>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</si>
  <si>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</si>
  <si>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</si>
  <si>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</si>
  <si>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</si>
  <si>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</si>
  <si>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</si>
  <si>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</si>
  <si>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</si>
  <si>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</si>
  <si>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</si>
  <si>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</si>
  <si>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</si>
  <si>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</si>
  <si>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</si>
  <si>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</si>
  <si>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</si>
  <si>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</si>
  <si>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</si>
  <si>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</si>
  <si>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</si>
  <si>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</si>
  <si>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</si>
  <si>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</si>
  <si>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</si>
  <si>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</si>
  <si>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</si>
  <si>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</si>
  <si>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</si>
  <si>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</si>
  <si>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</si>
  <si>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</si>
  <si>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</si>
  <si>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</si>
  <si>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</si>
  <si>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</si>
  <si>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</si>
  <si>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</si>
  <si>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</si>
  <si>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</si>
  <si>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</si>
  <si>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</si>
  <si>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</si>
  <si>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</si>
  <si>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</si>
  <si>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</si>
  <si>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</si>
  <si>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</si>
  <si>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</si>
  <si>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</si>
  <si>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</si>
  <si>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</si>
  <si>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</si>
  <si>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</si>
  <si>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</si>
  <si>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</si>
  <si>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</si>
  <si>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</si>
  <si>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</si>
  <si>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</si>
  <si>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</si>
  <si>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</si>
  <si>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</si>
  <si>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</si>
  <si>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</si>
  <si>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</si>
  <si>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</si>
  <si>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</si>
  <si>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</si>
  <si>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</si>
  <si>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</si>
  <si>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</si>
  <si>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</si>
  <si>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</si>
  <si>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</si>
  <si>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</si>
  <si>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</si>
  <si>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</si>
  <si>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</si>
  <si>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</si>
  <si>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</si>
  <si>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</si>
  <si>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</si>
  <si>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</si>
  <si>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</si>
  <si>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</si>
  <si>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</si>
  <si>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</si>
  <si>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</si>
  <si>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</si>
  <si>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</si>
  <si>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</si>
  <si>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</si>
  <si>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</si>
  <si>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</si>
  <si>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</si>
  <si>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</si>
  <si>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</si>
  <si>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</si>
  <si>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</si>
  <si>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</si>
  <si>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</si>
  <si>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</si>
  <si>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</si>
  <si>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</si>
  <si>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</si>
  <si>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</si>
  <si>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</si>
  <si>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</si>
  <si>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</si>
  <si>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</si>
  <si>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</si>
  <si>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</si>
  <si>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</si>
  <si>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</si>
  <si>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</si>
  <si>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</si>
  <si>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</si>
  <si>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</si>
  <si>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</si>
  <si>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</si>
  <si>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</si>
  <si>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</si>
  <si>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</si>
  <si>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</si>
  <si>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</si>
  <si>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</si>
  <si>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</si>
  <si>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</si>
  <si>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</si>
  <si>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</si>
  <si>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</si>
  <si>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</si>
  <si>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</si>
  <si>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</si>
  <si>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</si>
  <si>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</si>
  <si>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</si>
  <si>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</si>
  <si>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</si>
  <si>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</si>
  <si>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</si>
  <si>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</si>
  <si>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</si>
  <si>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</si>
  <si>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</si>
  <si>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</si>
  <si>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</si>
  <si>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</si>
  <si>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</si>
  <si>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</si>
  <si>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</si>
  <si>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</si>
  <si>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</si>
  <si>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</si>
  <si>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</si>
  <si>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</si>
  <si>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</si>
  <si>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</si>
  <si>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</si>
  <si>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</si>
  <si>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</si>
  <si>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</si>
  <si>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</si>
  <si>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</si>
  <si>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</si>
  <si>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</si>
  <si>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</si>
  <si>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</si>
  <si>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</si>
  <si>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</si>
  <si>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</si>
  <si>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</si>
  <si>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</si>
  <si>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</si>
  <si>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</si>
  <si>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</si>
  <si>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</si>
  <si>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</si>
  <si>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</si>
  <si>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</si>
  <si>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</si>
  <si>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</si>
  <si>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</si>
  <si>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</si>
  <si>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</si>
  <si>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</si>
  <si>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</si>
  <si>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</si>
  <si>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</si>
  <si>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</si>
  <si>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</si>
  <si>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</si>
  <si>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</si>
  <si>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</si>
  <si>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</si>
  <si>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</si>
  <si>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</si>
  <si>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</si>
  <si>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</si>
  <si>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</si>
  <si>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</si>
  <si>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</si>
  <si>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</si>
  <si>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</si>
  <si>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</si>
  <si>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</si>
  <si>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</si>
  <si>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</si>
  <si>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</si>
  <si>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</si>
  <si>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</si>
  <si>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</si>
  <si>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</si>
  <si>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</si>
  <si>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</si>
  <si>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</si>
  <si>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</si>
  <si>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</si>
  <si>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</si>
  <si>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</si>
  <si>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</si>
  <si>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</si>
  <si>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</si>
  <si>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</si>
  <si>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</si>
  <si>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</si>
  <si>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</si>
  <si>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</si>
  <si>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</si>
  <si>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</si>
  <si>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</si>
  <si>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</si>
  <si>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</si>
  <si>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</si>
  <si>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</si>
  <si>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</si>
  <si>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</si>
  <si>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</si>
  <si>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</si>
  <si>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</si>
  <si>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</si>
  <si>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</si>
  <si>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</si>
  <si>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</si>
  <si>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</si>
  <si>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</si>
  <si>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</si>
  <si>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</si>
  <si>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</si>
  <si>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</si>
  <si>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</si>
  <si>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</si>
  <si>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</si>
  <si>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</si>
  <si>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</si>
  <si>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</si>
  <si>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</si>
  <si>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</si>
  <si>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</si>
  <si>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</si>
  <si>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</si>
  <si>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</si>
  <si>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</si>
  <si>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</si>
  <si>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</si>
  <si>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</si>
  <si>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</si>
  <si>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</si>
  <si>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</si>
  <si>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</si>
  <si>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</si>
  <si>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</si>
  <si>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</si>
  <si>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</si>
  <si>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</si>
  <si>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</si>
  <si>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</si>
  <si>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</si>
  <si>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</si>
  <si>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</si>
  <si>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</si>
  <si>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</si>
  <si>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</si>
  <si>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</si>
  <si>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</si>
  <si>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</si>
  <si>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</si>
  <si>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</si>
  <si>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</si>
  <si>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</si>
  <si>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</si>
  <si>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</si>
  <si>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</si>
  <si>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</si>
  <si>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</si>
  <si>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</si>
  <si>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</si>
  <si>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</si>
  <si>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</si>
  <si>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</si>
  <si>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</si>
  <si>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</si>
  <si>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</si>
  <si>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</si>
  <si>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</si>
  <si>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</si>
  <si>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</si>
  <si>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</si>
  <si>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</si>
  <si>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</si>
  <si>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</si>
  <si>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</si>
  <si>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</si>
  <si>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</si>
  <si>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</si>
  <si>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</si>
  <si>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</si>
  <si>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</si>
  <si>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</si>
  <si>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</si>
  <si>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</si>
  <si>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</si>
  <si>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</si>
  <si>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</si>
  <si>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</si>
  <si>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</si>
  <si>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</si>
  <si>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</si>
  <si>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</si>
  <si>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</si>
  <si>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</si>
  <si>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</si>
  <si>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</si>
  <si>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</si>
  <si>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</si>
  <si>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</si>
  <si>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</si>
  <si>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</si>
  <si>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</si>
  <si>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</si>
  <si>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</si>
  <si>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</si>
  <si>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</si>
  <si>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</si>
  <si>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</si>
  <si>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</si>
  <si>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</si>
  <si>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</si>
  <si>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</si>
  <si>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</si>
  <si>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</si>
  <si>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</si>
  <si>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</si>
  <si>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</si>
  <si>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</si>
  <si>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</si>
  <si>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</si>
  <si>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</si>
  <si>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</si>
  <si>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</si>
  <si>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</si>
  <si>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</si>
  <si>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</si>
  <si>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</si>
  <si>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</si>
  <si>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</si>
  <si>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</si>
  <si>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</si>
  <si>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</si>
  <si>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</si>
  <si>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</si>
  <si>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</si>
  <si>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</si>
  <si>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</si>
  <si>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</si>
  <si>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</si>
  <si>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</si>
  <si>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</si>
  <si>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</si>
  <si>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</si>
  <si>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</si>
  <si>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</si>
  <si>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</si>
  <si>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</si>
  <si>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</si>
  <si>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</si>
  <si>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</si>
  <si>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</si>
  <si>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</si>
  <si>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</si>
  <si>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</si>
  <si>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</si>
  <si>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</si>
  <si>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</si>
  <si>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</si>
  <si>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</si>
  <si>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</si>
  <si>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</si>
  <si>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</si>
  <si>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</si>
  <si>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</si>
  <si>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</si>
  <si>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</si>
  <si>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</si>
  <si>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</si>
  <si>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</si>
  <si>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</si>
  <si>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</si>
  <si>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</si>
  <si>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</si>
  <si>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</si>
  <si>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</si>
  <si>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</si>
  <si>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</si>
  <si>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</si>
  <si>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</si>
  <si>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</si>
  <si>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</si>
  <si>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</si>
  <si>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</si>
  <si>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</si>
  <si>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</si>
  <si>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</si>
  <si>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</si>
  <si>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</si>
  <si>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</si>
  <si>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</si>
  <si>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</si>
  <si>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</si>
  <si>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</si>
  <si>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</si>
  <si>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</si>
  <si>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</si>
  <si>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</si>
  <si>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</si>
  <si>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</si>
  <si>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</si>
  <si>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</si>
  <si>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</si>
  <si>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</si>
  <si>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</si>
  <si>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</si>
  <si>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</si>
  <si>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</si>
  <si>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</si>
  <si>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</si>
  <si>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</si>
  <si>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</si>
  <si>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</si>
  <si>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</si>
  <si>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</si>
  <si>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</si>
  <si>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</si>
  <si>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</si>
  <si>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</si>
  <si>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</si>
  <si>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</si>
  <si>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</si>
  <si>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</si>
  <si>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</si>
  <si>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</si>
  <si>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</si>
  <si>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</si>
  <si>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</si>
  <si>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</si>
  <si>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</si>
  <si>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</si>
  <si>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</si>
  <si>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</si>
  <si>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</si>
  <si>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</si>
  <si>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</si>
  <si>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</si>
  <si>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</si>
  <si>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</si>
  <si>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</si>
  <si>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</si>
  <si>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</si>
  <si>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</si>
  <si>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</si>
  <si>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</si>
  <si>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</si>
  <si>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</si>
  <si>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</si>
  <si>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</si>
  <si>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</si>
  <si>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</si>
  <si>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</si>
  <si>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</si>
  <si>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</si>
  <si>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</si>
  <si>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</si>
  <si>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</si>
  <si>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</si>
  <si>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</si>
  <si>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</si>
  <si>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</si>
  <si>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</si>
  <si>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</si>
  <si>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</si>
  <si>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</si>
  <si>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</si>
  <si>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</si>
  <si>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</si>
  <si>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</si>
  <si>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</si>
  <si>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</si>
  <si>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</si>
  <si>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</si>
  <si>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</si>
  <si>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</si>
  <si>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</si>
  <si>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</si>
  <si>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</si>
  <si>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</si>
  <si>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</si>
  <si>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</si>
  <si>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</si>
  <si>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</si>
  <si>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</si>
  <si>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</si>
  <si>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</si>
  <si>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</si>
  <si>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</si>
  <si>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</si>
  <si>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</si>
  <si>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</si>
  <si>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</si>
  <si>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</si>
  <si>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</si>
  <si>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</si>
  <si>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</si>
  <si>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</si>
  <si>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</si>
  <si>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</si>
  <si>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</si>
  <si>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</si>
  <si>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</si>
  <si>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</si>
  <si>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</si>
  <si>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</si>
  <si>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</si>
  <si>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</si>
  <si>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</si>
  <si>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</si>
  <si>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</si>
  <si>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</si>
  <si>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</si>
  <si>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</si>
  <si>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</si>
  <si>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</si>
  <si>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</si>
  <si>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</si>
  <si>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</si>
  <si>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</si>
  <si>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</si>
  <si>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</si>
  <si>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</si>
  <si>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</si>
  <si>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</si>
  <si>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</si>
  <si>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</si>
  <si>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</si>
  <si>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</si>
  <si>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</si>
  <si>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</si>
  <si>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</si>
  <si>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</si>
  <si>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</si>
  <si>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</si>
  <si>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</si>
  <si>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</si>
  <si>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</si>
  <si>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</si>
  <si>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</si>
  <si>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</si>
  <si>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</si>
  <si>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</si>
  <si>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</si>
  <si>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</si>
  <si>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</si>
  <si>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</si>
  <si>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</si>
  <si>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</si>
  <si>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</si>
  <si>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</si>
  <si>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</si>
  <si>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</si>
  <si>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</si>
  <si>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</si>
  <si>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</si>
  <si>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</si>
  <si>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</si>
  <si>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</si>
  <si>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</si>
  <si>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</si>
  <si>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</si>
  <si>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</si>
  <si>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</si>
  <si>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</si>
  <si>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</si>
  <si>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</si>
  <si>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</si>
  <si>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</si>
  <si>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</si>
  <si>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</si>
  <si>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</si>
  <si>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</si>
  <si>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</si>
  <si>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</si>
  <si>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</si>
  <si>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</si>
  <si>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</si>
  <si>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</si>
  <si>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</si>
  <si>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</si>
  <si>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</si>
  <si>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</si>
  <si>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</si>
  <si>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</si>
  <si>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</si>
  <si>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</si>
  <si>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</si>
  <si>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</si>
  <si>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</si>
  <si>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</si>
  <si>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</si>
  <si>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</si>
  <si>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</si>
  <si>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</si>
  <si>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</si>
  <si>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</si>
  <si>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</si>
  <si>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</si>
  <si>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</si>
  <si>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</si>
  <si>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</si>
  <si>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</si>
  <si>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</si>
  <si>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</si>
  <si>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</si>
  <si>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</si>
  <si>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</si>
  <si>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</si>
  <si>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</si>
  <si>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</si>
  <si>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</si>
  <si>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</si>
  <si>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</si>
  <si>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</si>
  <si>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</si>
  <si>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</si>
  <si>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</si>
  <si>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</si>
  <si>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</si>
  <si>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</si>
  <si>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</si>
  <si>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</si>
  <si>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</si>
  <si>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</si>
  <si>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</si>
  <si>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</si>
  <si>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</si>
  <si>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</si>
  <si>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</si>
  <si>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</si>
  <si>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</si>
  <si>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</si>
  <si>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</si>
  <si>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</si>
  <si>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</si>
  <si>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</si>
  <si>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</si>
  <si>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</si>
  <si>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</si>
  <si>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</si>
  <si>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</si>
  <si>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</si>
  <si>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</si>
  <si>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</si>
  <si>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</si>
  <si>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</si>
  <si>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</si>
  <si>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</si>
  <si>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</si>
  <si>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</si>
  <si>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</si>
  <si>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</si>
  <si>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</si>
  <si>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</si>
  <si>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</si>
  <si>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</si>
  <si>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</si>
  <si>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</si>
  <si>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</si>
  <si>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</si>
  <si>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</si>
  <si>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</si>
  <si>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</si>
  <si>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</si>
  <si>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</si>
  <si>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</si>
  <si>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</si>
  <si>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</si>
  <si>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</si>
  <si>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</si>
  <si>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</si>
  <si>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</si>
  <si>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</si>
  <si>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</si>
  <si>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</si>
  <si>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</si>
  <si>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</si>
  <si>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</si>
  <si>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</si>
  <si>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</si>
  <si>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</si>
  <si>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</si>
  <si>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</si>
  <si>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</si>
  <si>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</si>
  <si>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</si>
  <si>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</si>
  <si>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</si>
  <si>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</si>
  <si>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</si>
  <si>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</si>
  <si>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</si>
  <si>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</si>
  <si>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</si>
  <si>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</si>
  <si>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</si>
  <si>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</si>
  <si>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</si>
  <si>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</si>
  <si>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</si>
  <si>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</si>
  <si>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</si>
  <si>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</si>
  <si>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</si>
  <si>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</si>
  <si>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</si>
  <si>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</si>
  <si>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</si>
  <si>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</si>
  <si>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</si>
  <si>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</si>
  <si>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</si>
  <si>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</si>
  <si>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</si>
  <si>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</si>
  <si>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</si>
  <si>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</si>
  <si>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</si>
  <si>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</si>
  <si>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</si>
  <si>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</si>
  <si>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</si>
  <si>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</si>
  <si>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</si>
  <si>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</si>
  <si>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</si>
  <si>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</si>
  <si>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</si>
  <si>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</si>
  <si>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</si>
  <si>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</si>
  <si>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</si>
  <si>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</si>
  <si>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</si>
  <si>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</si>
  <si>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</si>
  <si>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</si>
  <si>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</si>
  <si>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</si>
  <si>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</si>
  <si>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</si>
  <si>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</si>
  <si>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</si>
  <si>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</si>
  <si>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</si>
  <si>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</si>
  <si>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</si>
  <si>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</si>
  <si>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</si>
  <si>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</si>
  <si>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</si>
  <si>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</si>
  <si>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</si>
  <si>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</si>
  <si>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</si>
  <si>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</si>
  <si>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</si>
  <si>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</si>
  <si>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</si>
  <si>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</si>
  <si>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</si>
  <si>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</si>
  <si>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</si>
  <si>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</si>
  <si>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</si>
  <si>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</si>
  <si>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</si>
  <si>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</si>
  <si>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</si>
  <si>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</si>
  <si>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</si>
  <si>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</si>
  <si>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</si>
  <si>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</si>
  <si>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</si>
  <si>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</si>
  <si>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</si>
  <si>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</si>
  <si>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</si>
  <si>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</si>
  <si>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</si>
  <si>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</si>
  <si>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</si>
  <si>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</si>
  <si>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</si>
  <si>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</si>
  <si>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</si>
  <si>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</si>
  <si>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</si>
  <si>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</si>
  <si>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</si>
  <si>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</si>
  <si>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</si>
  <si>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</si>
  <si>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</si>
  <si>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</si>
  <si>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</si>
  <si>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</si>
  <si>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</si>
  <si>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</si>
  <si>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</si>
  <si>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</si>
  <si>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</si>
  <si>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</si>
  <si>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</si>
  <si>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</si>
  <si>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</si>
  <si>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</si>
  <si>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</si>
  <si>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</si>
  <si>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</si>
  <si>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</si>
  <si>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</si>
  <si>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</si>
  <si>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</si>
  <si>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</si>
  <si>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</si>
  <si>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</si>
  <si>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</si>
  <si>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</si>
  <si>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</si>
  <si>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</si>
  <si>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</si>
  <si>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</si>
  <si>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</si>
  <si>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</si>
  <si>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</si>
  <si>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</si>
  <si>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</si>
  <si>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</si>
  <si>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</si>
  <si>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</si>
  <si>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</si>
  <si>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</si>
  <si>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</si>
  <si>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</si>
  <si>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</si>
  <si>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</si>
  <si>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</si>
  <si>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</si>
  <si>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</si>
  <si>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</si>
  <si>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</si>
  <si>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</si>
  <si>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</si>
  <si>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</si>
  <si>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</si>
  <si>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</si>
  <si>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</si>
  <si>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</si>
  <si>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</si>
  <si>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</si>
  <si>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</si>
  <si>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</si>
  <si>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</si>
  <si>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</si>
  <si>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</si>
  <si>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</si>
  <si>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</si>
  <si>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</si>
  <si>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</si>
  <si>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</si>
  <si>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</si>
  <si>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</si>
  <si>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</si>
  <si>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</si>
  <si>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</si>
  <si>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</si>
  <si>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</si>
  <si>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</si>
  <si>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</si>
  <si>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</si>
  <si>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</si>
  <si>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</si>
  <si>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</si>
  <si>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</si>
  <si>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</si>
  <si>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</si>
  <si>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</si>
  <si>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</si>
  <si>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</si>
  <si>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</si>
  <si>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</si>
  <si>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</si>
  <si>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</si>
  <si>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</si>
  <si>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</si>
  <si>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</si>
  <si>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</si>
  <si>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</si>
  <si>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</si>
  <si>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</si>
  <si>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</si>
  <si>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</si>
  <si>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</si>
  <si>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</si>
  <si>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</si>
  <si>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</si>
  <si>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</si>
  <si>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</si>
  <si>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</si>
  <si>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</si>
  <si>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</si>
  <si>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</si>
  <si>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</si>
  <si>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</si>
  <si>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</si>
  <si>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</si>
  <si>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</si>
  <si>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</si>
  <si>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</si>
  <si>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</si>
  <si>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</si>
  <si>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</si>
  <si>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</si>
  <si>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</si>
  <si>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</si>
  <si>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</si>
  <si>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</si>
  <si>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</si>
  <si>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</si>
  <si>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</si>
  <si>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</si>
  <si>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</si>
  <si>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</si>
  <si>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</si>
  <si>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</si>
  <si>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</si>
  <si>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</si>
  <si>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</si>
  <si>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</si>
  <si>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</si>
  <si>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</si>
  <si>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</si>
  <si>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</si>
  <si>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</si>
  <si>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</si>
  <si>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</si>
  <si>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</si>
  <si>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</si>
  <si>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</si>
  <si>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</si>
  <si>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</si>
  <si>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</si>
  <si>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</si>
  <si>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</si>
  <si>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</si>
  <si>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</si>
  <si>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</si>
  <si>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</si>
  <si>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</si>
  <si>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</si>
  <si>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</si>
  <si>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</si>
  <si>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</si>
  <si>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</si>
  <si>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</si>
  <si>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</si>
  <si>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</si>
  <si>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</si>
  <si>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</si>
  <si>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</si>
  <si>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</si>
  <si>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</si>
  <si>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</si>
  <si>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</si>
  <si>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</si>
  <si>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</si>
  <si>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</si>
  <si>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</si>
  <si>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</si>
  <si>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</si>
  <si>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</si>
  <si>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</si>
  <si>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</si>
  <si>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</si>
  <si>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</si>
  <si>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</si>
  <si>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</si>
  <si>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</si>
  <si>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</si>
  <si>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</si>
  <si>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</si>
  <si>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</si>
  <si>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</si>
  <si>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</si>
  <si>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</si>
  <si>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</si>
  <si>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</si>
  <si>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</si>
  <si>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</si>
  <si>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</si>
  <si>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</si>
  <si>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</si>
  <si>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</si>
  <si>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</si>
  <si>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</si>
  <si>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</si>
  <si>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</si>
  <si>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</si>
  <si>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</si>
  <si>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</si>
  <si>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</si>
  <si>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</si>
  <si>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</si>
  <si>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</si>
  <si>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</si>
  <si>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</si>
  <si>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</si>
  <si>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</si>
  <si>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</si>
  <si>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</si>
  <si>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</si>
  <si>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</si>
  <si>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</si>
  <si>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</si>
  <si>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</si>
  <si>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</si>
  <si>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</si>
  <si>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</si>
  <si>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</si>
  <si>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</si>
  <si>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</si>
  <si>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</si>
  <si>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</si>
  <si>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</si>
  <si>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</si>
  <si>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</si>
  <si>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</si>
  <si>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</si>
  <si>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</si>
  <si>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</si>
  <si>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</si>
  <si>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</si>
  <si>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</si>
  <si>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</si>
  <si>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</si>
  <si>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</si>
  <si>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</si>
  <si>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</si>
  <si>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</si>
  <si>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</si>
  <si>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</si>
  <si>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</si>
  <si>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</si>
  <si>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</si>
  <si>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</si>
  <si>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</si>
  <si>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</si>
  <si>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</si>
  <si>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</si>
  <si>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</si>
  <si>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</si>
  <si>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</si>
  <si>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</si>
  <si>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</si>
  <si>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</si>
  <si>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</si>
  <si>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</si>
  <si>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</si>
  <si>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</si>
  <si>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</si>
  <si>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</si>
  <si>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</si>
  <si>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</si>
  <si>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</si>
  <si>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</si>
  <si>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</si>
  <si>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</si>
  <si>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</si>
  <si>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</si>
  <si>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</si>
  <si>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</si>
  <si>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</si>
  <si>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</si>
  <si>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</si>
  <si>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</si>
  <si>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</si>
  <si>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</si>
  <si>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</si>
  <si>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</si>
  <si>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</si>
  <si>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</si>
  <si>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</si>
  <si>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</si>
  <si>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</si>
  <si>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</si>
  <si>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</si>
  <si>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</si>
  <si>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</si>
  <si>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</si>
  <si>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</si>
  <si>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</si>
  <si>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</si>
  <si>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</si>
  <si>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</si>
  <si>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</si>
  <si>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</si>
  <si>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</si>
  <si>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</si>
  <si>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</si>
  <si>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</si>
  <si>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</si>
  <si>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</si>
  <si>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</si>
  <si>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</si>
  <si>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</si>
  <si>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</si>
  <si>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</si>
  <si>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</si>
  <si>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</si>
  <si>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</si>
  <si>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</si>
  <si>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</si>
  <si>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</si>
  <si>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</si>
  <si>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</si>
  <si>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</si>
  <si>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</si>
  <si>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</si>
  <si>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</si>
  <si>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</si>
  <si>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</si>
  <si>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</si>
  <si>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</si>
  <si>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</si>
  <si>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</si>
  <si>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</si>
  <si>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</si>
  <si>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</si>
  <si>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</si>
  <si>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</si>
  <si>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</si>
  <si>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</si>
  <si>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</si>
  <si>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</si>
  <si>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</si>
  <si>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</si>
  <si>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</si>
  <si>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</si>
  <si>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</si>
  <si>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</si>
  <si>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</si>
  <si>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</si>
  <si>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</si>
  <si>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</si>
  <si>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</si>
  <si>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</si>
  <si>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</si>
  <si>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</si>
  <si>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</si>
  <si>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</si>
  <si>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</si>
  <si>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</si>
  <si>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</si>
  <si>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</si>
  <si>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</si>
  <si>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</si>
  <si>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</si>
  <si>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</si>
  <si>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</si>
  <si>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</si>
  <si>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</si>
  <si>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</si>
  <si>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</si>
  <si>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</si>
  <si>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</si>
  <si>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</si>
  <si>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</si>
  <si>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</si>
  <si>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</si>
  <si>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</si>
  <si>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</si>
  <si>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</si>
  <si>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</si>
  <si>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</si>
  <si>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</si>
  <si>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</si>
  <si>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</si>
  <si>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</si>
  <si>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</si>
  <si>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</si>
  <si>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</si>
  <si>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</si>
  <si>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</si>
  <si>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</si>
  <si>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</si>
  <si>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</si>
  <si>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</si>
  <si>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</si>
  <si>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</si>
  <si>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</si>
  <si>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</si>
  <si>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</si>
  <si>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</si>
  <si>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</si>
  <si>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</si>
  <si>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</si>
  <si>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</si>
  <si>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</si>
  <si>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</si>
  <si>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</si>
  <si>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</si>
  <si>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</si>
  <si>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</si>
  <si>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</si>
  <si>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</si>
  <si>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</si>
  <si>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</si>
  <si>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</si>
  <si>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</si>
  <si>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</si>
  <si>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</si>
  <si>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</si>
  <si>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</si>
  <si>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</si>
  <si>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</si>
  <si>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</si>
  <si>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</si>
  <si>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</si>
  <si>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</si>
  <si>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</si>
  <si>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</si>
  <si>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</si>
  <si>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</si>
  <si>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</si>
  <si>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</si>
  <si>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</si>
  <si>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</si>
  <si>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</si>
  <si>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</si>
  <si>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</si>
  <si>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</si>
  <si>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</si>
  <si>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</si>
  <si>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</si>
  <si>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</si>
  <si>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</si>
  <si>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</si>
  <si>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</si>
  <si>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</si>
  <si>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</si>
  <si>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</si>
  <si>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</si>
  <si>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</si>
  <si>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</si>
  <si>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</si>
  <si>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</si>
  <si>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</si>
  <si>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</si>
  <si>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</si>
  <si>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</si>
  <si>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</si>
  <si>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</si>
  <si>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</si>
  <si>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</si>
  <si>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</si>
  <si>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</si>
  <si>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</si>
  <si>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</si>
  <si>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</si>
  <si>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</si>
  <si>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</si>
  <si>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</si>
  <si>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</si>
  <si>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</si>
  <si>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</si>
  <si>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</si>
  <si>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</si>
  <si>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</si>
  <si>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</si>
  <si>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</si>
  <si>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</si>
  <si>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</si>
  <si>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</si>
  <si>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</si>
  <si>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</si>
  <si>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</si>
  <si>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</si>
  <si>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</si>
  <si>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</si>
  <si>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</si>
  <si>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</si>
  <si>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</si>
  <si>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</si>
  <si>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</si>
  <si>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</si>
  <si>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</si>
  <si>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</si>
  <si>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</si>
  <si>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</si>
  <si>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</si>
  <si>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</si>
  <si>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</si>
  <si>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</si>
  <si>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</si>
  <si>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</si>
  <si>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</si>
  <si>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</si>
  <si>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</si>
  <si>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</si>
  <si>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</si>
  <si>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</si>
  <si>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</si>
  <si>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</si>
  <si>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</si>
  <si>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</si>
  <si>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</si>
  <si>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</si>
  <si>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</si>
  <si>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</si>
  <si>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</si>
  <si>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</si>
  <si>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</si>
  <si>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</si>
  <si>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</si>
  <si>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</si>
  <si>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</si>
  <si>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</si>
  <si>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</si>
  <si>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</si>
  <si>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</si>
  <si>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</si>
  <si>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</si>
  <si>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</si>
  <si>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</si>
  <si>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</si>
  <si>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</si>
  <si>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</si>
  <si>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</si>
  <si>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</si>
  <si>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</si>
  <si>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</si>
  <si>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</si>
  <si>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</si>
  <si>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</si>
  <si>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</si>
  <si>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</si>
  <si>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</si>
  <si>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</si>
  <si>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</si>
  <si>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</si>
  <si>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</si>
  <si>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</si>
  <si>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</si>
  <si>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</si>
  <si>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</si>
  <si>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</si>
  <si>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</si>
  <si>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</si>
  <si>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</si>
  <si>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</si>
  <si>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</si>
  <si>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</si>
  <si>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</si>
  <si>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</si>
  <si>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</si>
  <si>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</si>
  <si>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</si>
  <si>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</si>
  <si>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</si>
  <si>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</si>
  <si>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</si>
  <si>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</si>
  <si>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</si>
  <si>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</si>
  <si>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</si>
  <si>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</si>
  <si>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</si>
  <si>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</si>
  <si>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</si>
  <si>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</si>
  <si>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</si>
  <si>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</si>
  <si>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</si>
  <si>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</si>
  <si>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</si>
  <si>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</si>
  <si>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</si>
  <si>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</si>
  <si>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</si>
  <si>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</si>
  <si>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</si>
  <si>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</si>
  <si>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</si>
  <si>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</si>
  <si>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</si>
  <si>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</si>
  <si>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</si>
  <si>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</si>
  <si>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</si>
  <si>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</si>
  <si>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</si>
  <si>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</si>
  <si>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</si>
  <si>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</si>
  <si>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</si>
  <si>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</si>
  <si>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</si>
  <si>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</si>
  <si>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</si>
  <si>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</si>
  <si>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</si>
  <si>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</si>
  <si>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</si>
  <si>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</si>
  <si>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</si>
  <si>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</si>
  <si>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</si>
  <si>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</si>
  <si>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</si>
  <si>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</si>
  <si>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</si>
  <si>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</si>
  <si>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</si>
  <si>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</si>
  <si>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</si>
  <si>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</si>
  <si>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</si>
  <si>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</si>
  <si>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</si>
  <si>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</si>
  <si>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</si>
  <si>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</si>
  <si>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</si>
  <si>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</si>
  <si>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</si>
  <si>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</si>
  <si>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</si>
  <si>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</si>
  <si>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</si>
  <si>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</si>
  <si>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</si>
  <si>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</si>
  <si>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</si>
  <si>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</si>
  <si>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</si>
  <si>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</si>
  <si>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</si>
  <si>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</si>
  <si>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</si>
  <si>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</si>
  <si>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</si>
  <si>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</si>
  <si>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</si>
  <si>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</si>
  <si>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</si>
  <si>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</si>
  <si>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</si>
  <si>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</si>
  <si>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</si>
  <si>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</si>
  <si>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</si>
  <si>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</si>
  <si>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</si>
  <si>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</si>
  <si>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</si>
  <si>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</si>
  <si>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</si>
  <si>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</si>
  <si>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</si>
  <si>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</si>
  <si>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</si>
  <si>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</si>
  <si>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</si>
  <si>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</si>
  <si>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</si>
  <si>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</si>
  <si>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</si>
  <si>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</si>
  <si>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</si>
  <si>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</si>
  <si>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</si>
  <si>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</si>
  <si>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</si>
  <si>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</si>
  <si>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</si>
  <si>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</si>
  <si>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</si>
  <si>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</si>
  <si>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</si>
  <si>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</si>
  <si>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</si>
  <si>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</si>
  <si>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</si>
  <si>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</si>
  <si>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</si>
  <si>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</si>
  <si>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</si>
  <si>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</si>
  <si>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</si>
  <si>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</si>
  <si>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</si>
  <si>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</si>
  <si>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</si>
  <si>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</si>
  <si>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</si>
  <si>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</si>
  <si>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</si>
  <si>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</si>
  <si>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</si>
  <si>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</si>
  <si>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</si>
  <si>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</si>
  <si>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</si>
  <si>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</si>
  <si>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</si>
  <si>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</si>
  <si>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</si>
  <si>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</si>
  <si>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</si>
  <si>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</si>
  <si>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</si>
  <si>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</si>
  <si>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</si>
  <si>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</si>
  <si>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</si>
  <si>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</si>
  <si>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</si>
  <si>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</si>
  <si>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</si>
  <si>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</si>
  <si>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</si>
  <si>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</si>
  <si>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</si>
  <si>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</si>
  <si>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</si>
  <si>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</si>
  <si>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</si>
  <si>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</si>
  <si>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</si>
  <si>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</si>
  <si>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</si>
  <si>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</si>
  <si>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</si>
  <si>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</si>
  <si>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</si>
  <si>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</si>
  <si>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</si>
  <si>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</si>
  <si>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</si>
  <si>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</si>
  <si>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</si>
  <si>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</si>
  <si>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</si>
  <si>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</si>
  <si>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</si>
  <si>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</si>
  <si>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</si>
  <si>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</si>
  <si>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</si>
  <si>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</si>
  <si>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</si>
  <si>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</si>
  <si>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</si>
  <si>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</si>
  <si>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</si>
  <si>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</si>
  <si>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</si>
  <si>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</si>
  <si>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</si>
  <si>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</si>
  <si>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</si>
  <si>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</si>
  <si>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</si>
  <si>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</si>
  <si>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</si>
  <si>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</si>
  <si>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</si>
  <si>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</si>
  <si>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</si>
  <si>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</si>
  <si>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</si>
  <si>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</si>
  <si>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</si>
  <si>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</si>
  <si>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</si>
  <si>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</si>
  <si>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</si>
  <si>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</si>
  <si>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</si>
  <si>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</si>
  <si>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</si>
  <si>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</si>
  <si>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</si>
  <si>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</si>
  <si>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</si>
  <si>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</si>
  <si>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</si>
  <si>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</si>
  <si>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</si>
  <si>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</si>
  <si>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</si>
  <si>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</si>
  <si>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</si>
  <si>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</si>
  <si>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</si>
  <si>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</si>
  <si>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</si>
  <si>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</si>
  <si>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</si>
  <si>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</si>
  <si>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</si>
  <si>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</si>
  <si>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</si>
  <si>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</si>
  <si>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</si>
  <si>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</si>
  <si>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</si>
  <si>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</si>
  <si>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</si>
  <si>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</si>
  <si>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</si>
  <si>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</si>
  <si>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</si>
  <si>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</si>
  <si>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</si>
  <si>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</si>
  <si>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</si>
  <si>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</si>
  <si>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</si>
  <si>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</si>
  <si>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</si>
  <si>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</si>
  <si>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</si>
  <si>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</si>
  <si>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</si>
  <si>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</si>
  <si>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</si>
  <si>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</si>
  <si>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</si>
  <si>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</si>
  <si>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</si>
  <si>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</si>
  <si>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</si>
  <si>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</si>
  <si>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</si>
  <si>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</si>
  <si>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</si>
  <si>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</si>
  <si>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</si>
  <si>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</si>
  <si>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</si>
  <si>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</si>
  <si>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</si>
  <si>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</si>
  <si>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</si>
  <si>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</si>
  <si>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</si>
  <si>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</si>
  <si>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</si>
  <si>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</si>
  <si>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</si>
  <si>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</si>
  <si>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</si>
  <si>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</si>
  <si>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</si>
  <si>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</si>
  <si>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</si>
  <si>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</si>
  <si>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</si>
  <si>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</si>
  <si>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</si>
  <si>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</si>
  <si>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</si>
  <si>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</si>
  <si>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</si>
  <si>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</si>
  <si>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</si>
  <si>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</si>
  <si>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</si>
  <si>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</si>
  <si>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</si>
  <si>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</si>
  <si>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</si>
  <si>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</si>
  <si>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</si>
  <si>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</si>
  <si>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</si>
  <si>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</si>
  <si>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</si>
  <si>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</si>
  <si>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</si>
  <si>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</si>
  <si>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</si>
  <si>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</si>
  <si>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</si>
  <si>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</si>
  <si>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</si>
  <si>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</si>
  <si>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</si>
  <si>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</si>
  <si>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</si>
  <si>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</si>
  <si>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</si>
  <si>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</si>
  <si>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</si>
  <si>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</si>
  <si>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</si>
  <si>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</si>
  <si>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</si>
  <si>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</si>
  <si>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</si>
  <si>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</si>
  <si>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</si>
  <si>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</si>
  <si>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</si>
  <si>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</si>
  <si>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</si>
  <si>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</si>
  <si>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</si>
  <si>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</si>
  <si>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</si>
  <si>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</si>
  <si>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</si>
  <si>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</si>
  <si>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</si>
  <si>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</si>
  <si>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</si>
  <si>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</si>
  <si>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</si>
  <si>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</si>
  <si>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</si>
  <si>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</si>
  <si>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</si>
  <si>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</si>
  <si>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</si>
  <si>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</si>
  <si>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</si>
  <si>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</si>
  <si>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</si>
  <si>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</si>
  <si>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</si>
  <si>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</si>
  <si>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</si>
  <si>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</si>
  <si>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</si>
  <si>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</si>
  <si>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</si>
  <si>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</si>
  <si>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</si>
  <si>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</si>
  <si>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</si>
  <si>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</si>
  <si>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</si>
  <si>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</si>
  <si>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</si>
  <si>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</si>
  <si>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</si>
  <si>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</si>
  <si>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</si>
  <si>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</si>
  <si>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</si>
  <si>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</si>
  <si>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</si>
  <si>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</si>
  <si>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</si>
  <si>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</si>
  <si>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</si>
  <si>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</si>
  <si>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</si>
  <si>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</si>
  <si>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</si>
  <si>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</si>
  <si>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</si>
  <si>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</si>
  <si>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</si>
  <si>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</si>
  <si>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</si>
  <si>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</si>
  <si>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</si>
  <si>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</si>
  <si>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</si>
  <si>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</si>
  <si>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</si>
  <si>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</si>
  <si>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</si>
  <si>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</si>
  <si>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</si>
  <si>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</si>
  <si>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</si>
  <si>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</si>
  <si>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</si>
  <si>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</si>
  <si>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</si>
  <si>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</si>
  <si>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</si>
  <si>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</si>
  <si>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</si>
  <si>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</si>
  <si>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</si>
  <si>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</si>
  <si>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</si>
  <si>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</si>
  <si>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</si>
  <si>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</si>
  <si>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</si>
  <si>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</si>
  <si>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</si>
  <si>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</si>
  <si>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</si>
  <si>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</si>
  <si>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</si>
  <si>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</si>
  <si>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</si>
  <si>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</si>
  <si>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</si>
  <si>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</si>
  <si>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</si>
  <si>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</si>
  <si>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</si>
  <si>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</si>
  <si>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</si>
  <si>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</si>
  <si>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</si>
  <si>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</si>
  <si>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</si>
  <si>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</si>
  <si>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</si>
  <si>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</si>
  <si>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</si>
  <si>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</si>
  <si>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</si>
  <si>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</si>
  <si>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</si>
  <si>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</si>
  <si>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</si>
  <si>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</si>
  <si>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</si>
  <si>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</si>
  <si>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</si>
  <si>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</si>
  <si>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</si>
  <si>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</si>
  <si>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</si>
  <si>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</si>
  <si>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</si>
  <si>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</si>
  <si>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</si>
  <si>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</si>
  <si>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</si>
  <si>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</si>
  <si>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</si>
  <si>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</si>
  <si>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</si>
  <si>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</si>
  <si>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</si>
  <si>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</si>
  <si>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</si>
  <si>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</si>
  <si>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</si>
  <si>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</si>
  <si>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</si>
  <si>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</si>
  <si>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</si>
  <si>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</si>
  <si>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</si>
  <si>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</si>
  <si>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</si>
  <si>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</si>
  <si>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</si>
  <si>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</si>
  <si>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</si>
  <si>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</si>
  <si>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</si>
  <si>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</si>
  <si>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</si>
  <si>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</si>
  <si>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</si>
  <si>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</si>
  <si>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</si>
  <si>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</si>
  <si>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</si>
  <si>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</si>
  <si>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</si>
  <si>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</si>
  <si>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</si>
  <si>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</si>
  <si>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</si>
  <si>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</si>
  <si>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</si>
  <si>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</si>
  <si>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</si>
  <si>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</si>
  <si>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</si>
  <si>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</si>
  <si>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</si>
  <si>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</si>
  <si>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</si>
  <si>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</si>
  <si>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</si>
  <si>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</si>
  <si>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</si>
  <si>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</si>
  <si>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</si>
  <si>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</si>
  <si>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</si>
  <si>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</si>
  <si>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</si>
  <si>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</si>
  <si>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</si>
  <si>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</si>
  <si>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</si>
  <si>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</si>
  <si>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</si>
  <si>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</si>
  <si>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</si>
  <si>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</si>
  <si>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</si>
  <si>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</si>
  <si>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</si>
  <si>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</si>
  <si>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</si>
  <si>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</si>
  <si>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</si>
  <si>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</si>
  <si>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</si>
  <si>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</si>
  <si>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</si>
  <si>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</si>
  <si>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</si>
  <si>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</si>
  <si>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</si>
  <si>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</si>
  <si>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</si>
  <si>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</si>
  <si>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</si>
  <si>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</si>
  <si>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</si>
  <si>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</si>
  <si>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</si>
  <si>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</si>
  <si>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</si>
  <si>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</si>
  <si>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</si>
  <si>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</si>
  <si>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</si>
  <si>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</si>
  <si>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</si>
  <si>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</si>
  <si>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</si>
  <si>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</si>
  <si>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</si>
  <si>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</si>
  <si>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</si>
  <si>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</si>
  <si>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</si>
  <si>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</si>
  <si>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</si>
  <si>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</si>
  <si>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</si>
  <si>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</si>
  <si>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</si>
  <si>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</si>
  <si>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</si>
  <si>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</si>
  <si>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</si>
  <si>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</si>
  <si>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</si>
  <si>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</si>
  <si>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</si>
  <si>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</si>
  <si>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</si>
  <si>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</si>
  <si>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</si>
  <si>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</si>
  <si>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</si>
  <si>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</si>
  <si>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</si>
  <si>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</si>
  <si>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</si>
  <si>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</si>
  <si>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</si>
  <si>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</si>
  <si>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</si>
  <si>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</si>
  <si>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</si>
  <si>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</si>
  <si>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</si>
  <si>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</si>
  <si>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</si>
  <si>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</si>
  <si>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</si>
  <si>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</si>
  <si>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</si>
  <si>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</si>
  <si>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</si>
  <si>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</si>
  <si>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</si>
  <si>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</si>
  <si>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</si>
  <si>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</si>
  <si>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</si>
  <si>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</si>
  <si>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</si>
  <si>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</si>
  <si>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</si>
  <si>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</si>
  <si>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</si>
  <si>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</si>
  <si>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</si>
  <si>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</si>
  <si>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</si>
  <si>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</si>
  <si>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</si>
  <si>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</si>
  <si>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</si>
  <si>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</si>
  <si>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</si>
  <si>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</si>
  <si>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</si>
  <si>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</si>
  <si>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</si>
  <si>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</si>
  <si>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</si>
  <si>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</si>
  <si>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</si>
  <si>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</si>
  <si>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</si>
  <si>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</si>
  <si>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</si>
  <si>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</si>
  <si>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</si>
  <si>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</si>
  <si>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</si>
  <si>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</si>
  <si>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</si>
  <si>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</si>
  <si>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</si>
  <si>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</si>
  <si>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</si>
  <si>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</si>
  <si>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</si>
  <si>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</si>
  <si>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</si>
  <si>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</si>
  <si>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</si>
  <si>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</si>
  <si>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</si>
  <si>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</si>
  <si>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</si>
  <si>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</si>
  <si>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</si>
  <si>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</si>
  <si>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</si>
  <si>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</si>
  <si>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</si>
  <si>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</si>
  <si>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</si>
  <si>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</si>
  <si>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</si>
  <si>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</si>
  <si>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</si>
  <si>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</si>
  <si>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</si>
  <si>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</si>
  <si>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</si>
  <si>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</si>
  <si>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</si>
  <si>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</si>
  <si>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</si>
  <si>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</si>
  <si>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</si>
  <si>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</si>
  <si>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</si>
  <si>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</si>
  <si>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</si>
  <si>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</si>
  <si>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</si>
  <si>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</si>
  <si>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</si>
  <si>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</si>
  <si>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</si>
  <si>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</si>
  <si>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</si>
  <si>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</si>
  <si>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</si>
  <si>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</si>
  <si>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</si>
  <si>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</si>
  <si>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</si>
  <si>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</si>
  <si>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</si>
  <si>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</si>
  <si>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</si>
  <si>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</si>
  <si>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</si>
  <si>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</si>
  <si>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</si>
  <si>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</si>
  <si>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</si>
  <si>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</si>
  <si>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</si>
  <si>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</si>
  <si>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</si>
  <si>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</si>
  <si>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</si>
  <si>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</si>
  <si>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</si>
  <si>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</si>
  <si>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</si>
  <si>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</si>
  <si>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</si>
  <si>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</si>
  <si>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</si>
  <si>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</si>
  <si>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</si>
  <si>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</si>
  <si>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</si>
  <si>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</si>
  <si>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</si>
  <si>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</si>
  <si>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</si>
  <si>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</si>
  <si>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</si>
  <si>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</si>
  <si>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</si>
  <si>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</si>
  <si>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</si>
  <si>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</si>
  <si>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</si>
  <si>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</si>
  <si>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</si>
  <si>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</si>
  <si>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</si>
  <si>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</si>
  <si>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</si>
  <si>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</si>
  <si>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</si>
  <si>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</si>
  <si>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</si>
  <si>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</si>
  <si>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</si>
  <si>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</si>
  <si>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</si>
  <si>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</si>
  <si>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</si>
  <si>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</si>
  <si>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</si>
  <si>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</si>
  <si>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</si>
  <si>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</si>
  <si>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</si>
  <si>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</si>
  <si>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</si>
  <si>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</si>
  <si>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</si>
  <si>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</si>
  <si>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</si>
  <si>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</si>
  <si>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</si>
  <si>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</si>
  <si>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</si>
  <si>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</si>
  <si>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</si>
  <si>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</si>
  <si>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</si>
  <si>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</si>
  <si>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</si>
  <si>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</si>
  <si>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</si>
  <si>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</si>
  <si>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</si>
  <si>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</si>
  <si>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</si>
  <si>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</si>
  <si>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</si>
  <si>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</si>
  <si>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</si>
  <si>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</si>
  <si>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</si>
  <si>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</si>
  <si>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</si>
  <si>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</si>
  <si>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</si>
  <si>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</si>
  <si>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</si>
  <si>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</si>
  <si>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</si>
  <si>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</si>
  <si>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</si>
  <si>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</si>
  <si>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</si>
  <si>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</si>
  <si>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</si>
  <si>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</si>
  <si>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</si>
  <si>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</si>
  <si>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</si>
  <si>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</si>
  <si>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</si>
  <si>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</si>
  <si>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</si>
  <si>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</si>
  <si>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</si>
  <si>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</si>
  <si>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</si>
  <si>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</si>
  <si>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</si>
  <si>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</si>
  <si>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</si>
  <si>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</si>
  <si>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</si>
  <si>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</si>
  <si>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</si>
  <si>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</si>
  <si>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</si>
  <si>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</si>
  <si>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</si>
  <si>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</si>
  <si>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</si>
  <si>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</si>
  <si>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</si>
  <si>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</si>
  <si>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</si>
  <si>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</si>
  <si>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</si>
  <si>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</si>
  <si>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</si>
  <si>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</si>
  <si>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</si>
  <si>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</si>
  <si>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</si>
  <si>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</si>
  <si>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</si>
  <si>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</si>
  <si>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</si>
  <si>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</si>
  <si>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</si>
  <si>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</si>
  <si>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</si>
  <si>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</si>
  <si>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</si>
  <si>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</si>
  <si>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</si>
  <si>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</si>
  <si>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</si>
  <si>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</si>
  <si>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</si>
  <si>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</si>
  <si>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</si>
  <si>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</si>
  <si>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</si>
  <si>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</si>
  <si>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</si>
  <si>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</si>
  <si>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</si>
  <si>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</si>
  <si>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</si>
  <si>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</si>
  <si>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</si>
  <si>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</si>
  <si>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</si>
  <si>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</si>
  <si>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</si>
  <si>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</si>
  <si>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</si>
  <si>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</si>
  <si>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</si>
  <si>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</si>
  <si>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</si>
  <si>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</si>
  <si>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</si>
  <si>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</si>
  <si>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</si>
  <si>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</si>
  <si>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</si>
  <si>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</si>
  <si>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</si>
  <si>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</si>
  <si>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</si>
  <si>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</si>
  <si>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</si>
  <si>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</si>
  <si>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</si>
  <si>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</si>
  <si>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</si>
  <si>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</si>
  <si>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</si>
  <si>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</si>
  <si>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</si>
  <si>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</si>
  <si>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</si>
  <si>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</si>
  <si>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</si>
  <si>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</si>
  <si>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</si>
  <si>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</si>
  <si>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</si>
  <si>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</si>
  <si>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</si>
  <si>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</si>
  <si>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</si>
  <si>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</si>
  <si>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</si>
  <si>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</si>
  <si>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</si>
  <si>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</si>
  <si>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</si>
  <si>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</si>
  <si>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</si>
  <si>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</si>
  <si>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</si>
  <si>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</si>
  <si>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</si>
  <si>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</si>
  <si>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</si>
  <si>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</si>
  <si>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</si>
  <si>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</si>
  <si>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</si>
  <si>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</si>
  <si>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</si>
  <si>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</si>
  <si>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</si>
  <si>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</si>
  <si>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</si>
  <si>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</si>
  <si>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</si>
  <si>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</si>
  <si>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</si>
  <si>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</si>
  <si>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</si>
  <si>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</si>
  <si>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</si>
  <si>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</si>
  <si>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</si>
  <si>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</si>
  <si>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</si>
  <si>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</si>
  <si>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</si>
  <si>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</si>
  <si>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</si>
  <si>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</si>
  <si>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</si>
  <si>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</si>
  <si>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</si>
  <si>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</si>
  <si>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</si>
  <si>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</si>
  <si>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</si>
  <si>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</si>
  <si>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</si>
  <si>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</si>
  <si>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</si>
  <si>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</si>
  <si>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</si>
  <si>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</si>
  <si>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</si>
  <si>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</si>
  <si>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</si>
  <si>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</si>
  <si>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</si>
  <si>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</si>
  <si>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</si>
  <si>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</si>
  <si>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</si>
  <si>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</si>
  <si>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</si>
  <si>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</si>
  <si>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</si>
  <si>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</si>
  <si>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</si>
  <si>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</si>
  <si>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</si>
  <si>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</si>
  <si>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</si>
  <si>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</si>
  <si>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</si>
  <si>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</si>
  <si>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</si>
  <si>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</si>
  <si>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</si>
  <si>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</si>
  <si>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</si>
  <si>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</si>
  <si>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</si>
  <si>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</si>
  <si>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</si>
  <si>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</si>
  <si>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</si>
  <si>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</si>
  <si>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</si>
  <si>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</si>
  <si>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</si>
  <si>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</si>
  <si>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</si>
  <si>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</si>
  <si>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</si>
  <si>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</si>
  <si>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</si>
  <si>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</si>
  <si>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</si>
  <si>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</si>
  <si>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</si>
  <si>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</si>
  <si>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</si>
  <si>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</si>
  <si>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</si>
  <si>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</si>
  <si>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</si>
  <si>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</si>
  <si>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</si>
  <si>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</si>
  <si>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</si>
  <si>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</si>
  <si>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</si>
  <si>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</si>
  <si>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</si>
  <si>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</si>
  <si>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</si>
  <si>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</si>
  <si>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</si>
  <si>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</si>
  <si>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</si>
  <si>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</si>
  <si>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</si>
  <si>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</si>
  <si>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</si>
  <si>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</si>
  <si>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</si>
  <si>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</si>
  <si>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</si>
  <si>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</si>
  <si>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</si>
  <si>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</si>
  <si>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</si>
  <si>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</si>
  <si>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</si>
  <si>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</si>
  <si>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</si>
  <si>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</si>
  <si>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</si>
  <si>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</si>
  <si>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</si>
  <si>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</si>
  <si>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</si>
  <si>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</si>
  <si>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</si>
  <si>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</si>
  <si>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</si>
  <si>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</si>
  <si>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</si>
  <si>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</si>
  <si>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</si>
  <si>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</si>
  <si>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</si>
  <si>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</si>
  <si>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</si>
  <si>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</si>
  <si>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</si>
  <si>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</si>
  <si>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</si>
  <si>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</si>
  <si>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</si>
  <si>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</si>
  <si>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</si>
  <si>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</si>
  <si>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</si>
  <si>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</si>
  <si>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</si>
  <si>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</si>
  <si>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</si>
  <si>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</si>
  <si>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</si>
  <si>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</si>
  <si>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</si>
  <si>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</si>
  <si>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</si>
  <si>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</si>
  <si>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</si>
  <si>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</si>
  <si>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</si>
  <si>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</si>
  <si>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</si>
  <si>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</si>
  <si>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</si>
  <si>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</si>
  <si>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</si>
  <si>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</si>
  <si>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</si>
  <si>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</si>
  <si>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</si>
  <si>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</si>
  <si>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</si>
  <si>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</si>
  <si>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</si>
  <si>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</si>
  <si>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</si>
  <si>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</si>
  <si>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</si>
  <si>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</si>
  <si>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</si>
  <si>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</si>
  <si>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</si>
  <si>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</si>
  <si>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</si>
  <si>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</si>
  <si>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</si>
  <si>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</si>
  <si>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</si>
  <si>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</si>
  <si>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</si>
  <si>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</si>
  <si>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</si>
  <si>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</si>
  <si>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</si>
  <si>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</si>
  <si>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</si>
  <si>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</si>
  <si>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</si>
  <si>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</si>
  <si>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</si>
  <si>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</si>
  <si>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</si>
  <si>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</si>
  <si>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</si>
  <si>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</si>
  <si>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</si>
  <si>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</si>
  <si>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</si>
  <si>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</si>
  <si>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</si>
  <si>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</si>
  <si>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</si>
  <si>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</si>
  <si>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</si>
  <si>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</si>
  <si>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</si>
  <si>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</si>
  <si>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</si>
  <si>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</si>
  <si>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</si>
  <si>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</si>
  <si>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</si>
  <si>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</si>
  <si>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</si>
  <si>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</si>
  <si>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</si>
  <si>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</si>
  <si>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</si>
  <si>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</si>
  <si>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</si>
  <si>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</si>
  <si>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</si>
  <si>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</si>
  <si>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</si>
  <si>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</si>
  <si>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</si>
  <si>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</si>
  <si>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</si>
  <si>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</si>
  <si>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</si>
  <si>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</si>
  <si>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</si>
  <si>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</si>
  <si>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</si>
  <si>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</si>
  <si>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</si>
  <si>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</si>
  <si>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</si>
  <si>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</si>
  <si>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</si>
  <si>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</si>
  <si>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</si>
  <si>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</si>
  <si>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</si>
  <si>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</si>
  <si>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</si>
  <si>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</si>
  <si>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</si>
  <si>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</si>
  <si>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</si>
  <si>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</si>
  <si>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</si>
  <si>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</si>
  <si>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</si>
  <si>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</si>
  <si>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</si>
  <si>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</si>
  <si>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</si>
  <si>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</si>
  <si>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</si>
  <si>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</si>
  <si>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</si>
  <si>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</si>
  <si>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</si>
  <si>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</si>
  <si>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</si>
  <si>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</si>
  <si>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</si>
  <si>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</si>
  <si>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</si>
  <si>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</si>
  <si>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</si>
  <si>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</si>
  <si>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</si>
  <si>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</si>
  <si>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</si>
  <si>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</si>
  <si>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</si>
  <si>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</si>
  <si>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</si>
  <si>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</si>
  <si>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</si>
  <si>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</si>
  <si>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</si>
  <si>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</si>
  <si>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</si>
  <si>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</si>
  <si>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</si>
  <si>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</si>
  <si>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</si>
  <si>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</si>
  <si>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</si>
  <si>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</si>
  <si>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</si>
  <si>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</si>
  <si>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</si>
  <si>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</si>
  <si>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</si>
  <si>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</si>
  <si>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</si>
  <si>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</si>
  <si>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</si>
  <si>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</si>
  <si>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</si>
  <si>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</si>
  <si>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</si>
  <si>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</si>
  <si>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</si>
  <si>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</si>
  <si>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</si>
  <si>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</si>
  <si>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</si>
  <si>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</si>
  <si>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</si>
  <si>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</si>
  <si>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</si>
  <si>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</si>
  <si>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</si>
  <si>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</si>
  <si>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</si>
  <si>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</si>
  <si>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</si>
  <si>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</si>
  <si>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</si>
  <si>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</si>
  <si>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</si>
  <si>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</si>
  <si>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</si>
  <si>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</si>
  <si>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</si>
  <si>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</si>
  <si>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</si>
  <si>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</si>
  <si>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</si>
  <si>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</si>
  <si>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</si>
  <si>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</si>
  <si>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</si>
  <si>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</si>
  <si>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</si>
  <si>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</si>
  <si>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</si>
  <si>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</si>
  <si>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</si>
  <si>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</si>
  <si>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</si>
  <si>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</si>
  <si>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</si>
  <si>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</si>
  <si>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</si>
  <si>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</si>
  <si>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</si>
  <si>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</si>
  <si>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</si>
  <si>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</si>
  <si>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</si>
  <si>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</si>
  <si>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</si>
  <si>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</si>
  <si>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</si>
  <si>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</si>
  <si>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</si>
  <si>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</si>
  <si>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</si>
  <si>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</si>
  <si>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</si>
  <si>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</si>
  <si>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</si>
  <si>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</si>
  <si>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</si>
  <si>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</si>
  <si>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</si>
  <si>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</si>
  <si>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</si>
  <si>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</si>
  <si>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</si>
  <si>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</si>
  <si>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</si>
  <si>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</si>
  <si>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</si>
  <si>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</si>
  <si>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</si>
  <si>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</si>
  <si>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</si>
  <si>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</si>
  <si>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</si>
  <si>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</si>
  <si>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</si>
  <si>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</si>
  <si>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</si>
  <si>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</si>
  <si>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</si>
  <si>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</si>
  <si>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</si>
  <si>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</si>
  <si>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</si>
  <si>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</si>
  <si>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</si>
  <si>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</si>
  <si>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</si>
  <si>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</si>
  <si>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</si>
  <si>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</si>
  <si>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</si>
  <si>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</si>
  <si>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</si>
  <si>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</si>
  <si>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</si>
  <si>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</si>
  <si>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</si>
  <si>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</si>
  <si>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</si>
  <si>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</si>
  <si>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</si>
  <si>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</si>
  <si>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</si>
  <si>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</si>
  <si>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</si>
  <si>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</si>
  <si>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</si>
  <si>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</si>
  <si>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</si>
  <si>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</si>
  <si>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</si>
  <si>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</si>
  <si>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</si>
  <si>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</si>
  <si>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</si>
  <si>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</si>
  <si>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</si>
  <si>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</si>
  <si>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</si>
  <si>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</si>
  <si>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</si>
  <si>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</si>
  <si>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</si>
  <si>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</si>
  <si>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</si>
  <si>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</si>
  <si>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</si>
  <si>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</si>
  <si>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</si>
  <si>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</si>
  <si>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</si>
  <si>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</si>
  <si>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</si>
  <si>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</si>
  <si>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</si>
  <si>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</si>
  <si>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</si>
  <si>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</si>
  <si>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</si>
  <si>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</si>
  <si>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</si>
  <si>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</si>
  <si>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</si>
  <si>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</si>
  <si>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</si>
  <si>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</si>
  <si>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</si>
  <si>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</si>
  <si>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</si>
  <si>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</si>
  <si>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</si>
  <si>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</si>
  <si>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</si>
  <si>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</si>
  <si>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</si>
  <si>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</si>
  <si>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</si>
  <si>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</si>
  <si>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</si>
  <si>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</si>
  <si>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</si>
  <si>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</si>
  <si>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</si>
  <si>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</si>
  <si>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</si>
  <si>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</si>
  <si>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</si>
  <si>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</si>
  <si>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</si>
  <si>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</si>
  <si>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</si>
  <si>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</si>
  <si>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</si>
  <si>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</si>
  <si>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</si>
  <si>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</si>
  <si>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</si>
  <si>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</si>
  <si>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</si>
  <si>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</si>
  <si>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</si>
  <si>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</si>
  <si>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</si>
  <si>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</si>
  <si>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</si>
  <si>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</si>
  <si>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</si>
  <si>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</si>
  <si>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</si>
  <si>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</si>
  <si>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</si>
  <si>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</si>
  <si>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</si>
  <si>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</si>
  <si>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</si>
  <si>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</si>
  <si>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</si>
  <si>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</si>
  <si>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</si>
  <si>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</si>
  <si>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</si>
  <si>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</si>
  <si>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</si>
  <si>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</si>
  <si>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</si>
  <si>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</si>
  <si>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</si>
  <si>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</si>
  <si>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</si>
  <si>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</si>
  <si>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</si>
  <si>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</si>
  <si>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</si>
  <si>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</si>
  <si>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</si>
  <si>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</si>
  <si>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</si>
  <si>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</si>
  <si>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</si>
  <si>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</si>
  <si>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</si>
  <si>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</si>
  <si>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</si>
  <si>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</si>
  <si>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</si>
  <si>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</si>
  <si>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</si>
  <si>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</si>
  <si>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</si>
  <si>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</si>
  <si>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</si>
  <si>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</si>
  <si>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</si>
  <si>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</si>
  <si>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</si>
  <si>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</si>
  <si>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</si>
  <si>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</si>
  <si>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</si>
  <si>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</si>
  <si>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</si>
  <si>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</si>
  <si>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</si>
  <si>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</si>
  <si>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</si>
  <si>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</si>
  <si>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</si>
  <si>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</si>
  <si>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</si>
  <si>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</si>
  <si>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</si>
  <si>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</si>
  <si>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</si>
  <si>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</si>
  <si>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</si>
  <si>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</si>
  <si>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</si>
  <si>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</si>
  <si>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</si>
  <si>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</si>
  <si>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</si>
  <si>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</si>
  <si>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</si>
  <si>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</si>
  <si>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</si>
  <si>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</si>
  <si>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</si>
  <si>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</si>
  <si>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</si>
  <si>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</si>
  <si>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</si>
  <si>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</si>
  <si>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</si>
  <si>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</si>
  <si>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</si>
  <si>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</si>
  <si>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</si>
  <si>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</si>
  <si>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</si>
  <si>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</si>
  <si>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</si>
  <si>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</si>
  <si>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</si>
  <si>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</si>
  <si>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</si>
  <si>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</si>
  <si>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</si>
  <si>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</si>
  <si>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</si>
  <si>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</si>
  <si>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</si>
  <si>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</si>
  <si>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</si>
  <si>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</si>
  <si>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</si>
  <si>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</si>
  <si>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</si>
  <si>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</si>
  <si>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</si>
  <si>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</si>
  <si>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</si>
  <si>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</si>
  <si>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</si>
  <si>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</si>
  <si>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</si>
  <si>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</si>
  <si>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</si>
  <si>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</si>
  <si>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</si>
  <si>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</si>
  <si>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</si>
  <si>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</si>
  <si>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</si>
  <si>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</si>
  <si>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</si>
  <si>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</si>
  <si>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</si>
  <si>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</si>
  <si>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</si>
  <si>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</si>
  <si>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</si>
  <si>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</si>
  <si>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</si>
  <si>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</si>
  <si>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</si>
  <si>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</si>
  <si>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</si>
  <si>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</si>
  <si>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</si>
  <si>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</si>
  <si>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</si>
  <si>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</si>
  <si>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</si>
  <si>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</si>
  <si>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</si>
  <si>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</si>
  <si>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</si>
  <si>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</si>
  <si>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</si>
  <si>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</si>
  <si>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</si>
  <si>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</si>
  <si>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</si>
  <si>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</si>
  <si>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</si>
  <si>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</si>
  <si>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</si>
  <si>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</si>
  <si>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</si>
  <si>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</si>
  <si>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</si>
  <si>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</si>
  <si>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</si>
  <si>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</si>
  <si>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</si>
  <si>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</si>
  <si>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</si>
  <si>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</si>
  <si>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</si>
  <si>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</si>
  <si>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</si>
  <si>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</si>
  <si>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</si>
  <si>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</si>
  <si>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</si>
  <si>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</si>
  <si>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</si>
  <si>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</si>
  <si>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</si>
  <si>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</si>
  <si>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</si>
  <si>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</si>
  <si>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</si>
  <si>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</si>
  <si>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</si>
  <si>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</si>
  <si>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</si>
  <si>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</si>
  <si>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</si>
  <si>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</si>
  <si>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</si>
  <si>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</si>
  <si>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</si>
  <si>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</si>
  <si>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</si>
  <si>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</si>
  <si>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</si>
  <si>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</si>
  <si>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</si>
  <si>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</si>
  <si>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</si>
  <si>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</si>
  <si>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</si>
  <si>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</si>
  <si>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</si>
  <si>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</si>
  <si>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</si>
  <si>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</si>
  <si>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</si>
  <si>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</si>
  <si>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</si>
  <si>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</si>
  <si>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</si>
  <si>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</si>
  <si>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</si>
  <si>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</si>
  <si>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</si>
  <si>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</si>
  <si>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</si>
  <si>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</si>
  <si>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</si>
  <si>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</si>
  <si>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</si>
  <si>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</si>
  <si>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</si>
  <si>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</si>
  <si>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</si>
  <si>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</si>
  <si>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</si>
  <si>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</si>
  <si>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</si>
  <si>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</si>
  <si>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</si>
  <si>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</si>
  <si>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</si>
  <si>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</si>
  <si>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</si>
  <si>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</si>
  <si>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</si>
  <si>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</si>
  <si>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</si>
  <si>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</si>
  <si>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</si>
  <si>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</si>
  <si>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</si>
  <si>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</si>
  <si>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</si>
  <si>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</si>
  <si>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</si>
  <si>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</si>
  <si>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</si>
  <si>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</si>
  <si>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</si>
  <si>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</si>
  <si>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</si>
  <si>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</si>
  <si>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</si>
  <si>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</si>
  <si>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</si>
  <si>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</si>
  <si>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</si>
  <si>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</si>
  <si>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</si>
  <si>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</si>
  <si>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</si>
  <si>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</si>
  <si>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</si>
  <si>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</si>
  <si>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</si>
  <si>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</si>
  <si>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</si>
  <si>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</si>
  <si>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</si>
  <si>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</si>
  <si>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</si>
  <si>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</si>
  <si>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</si>
  <si>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</si>
  <si>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</si>
  <si>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</si>
  <si>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</si>
  <si>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</si>
  <si>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</si>
  <si>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</si>
  <si>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</si>
  <si>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</si>
  <si>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</si>
  <si>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</si>
  <si>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</si>
  <si>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</si>
  <si>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</si>
  <si>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</si>
  <si>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</si>
  <si>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</si>
  <si>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</si>
  <si>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</si>
  <si>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</si>
  <si>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</si>
  <si>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</si>
  <si>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</si>
  <si>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</si>
  <si>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</si>
  <si>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</si>
  <si>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</si>
  <si>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</si>
  <si>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</si>
  <si>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</si>
  <si>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</si>
  <si>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</si>
  <si>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</si>
  <si>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</si>
  <si>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</si>
  <si>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</si>
  <si>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</si>
  <si>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</si>
  <si>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</si>
  <si>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</si>
  <si>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</si>
  <si>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</si>
  <si>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</si>
  <si>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</si>
  <si>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</si>
  <si>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</si>
  <si>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</si>
  <si>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</si>
  <si>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</si>
  <si>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</si>
  <si>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</si>
  <si>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</si>
  <si>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</si>
  <si>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</si>
  <si>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</si>
  <si>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</si>
  <si>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</si>
  <si>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</si>
  <si>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</si>
  <si>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</si>
  <si>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</si>
  <si>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</si>
  <si>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</si>
  <si>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</si>
  <si>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</si>
  <si>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</si>
  <si>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</si>
  <si>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</si>
  <si>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</si>
  <si>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</si>
  <si>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</si>
  <si>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</si>
  <si>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</si>
  <si>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</si>
  <si>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</si>
  <si>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</si>
  <si>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</si>
  <si>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</si>
  <si>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</si>
  <si>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</si>
  <si>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</si>
  <si>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</si>
  <si>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</si>
  <si>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</si>
  <si>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</si>
  <si>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</si>
  <si>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</si>
  <si>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</si>
  <si>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</si>
  <si>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</si>
  <si>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</si>
  <si>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</si>
  <si>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</si>
  <si>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</si>
  <si>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</si>
  <si>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</si>
  <si>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</si>
  <si>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</si>
  <si>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</si>
  <si>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</si>
  <si>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</si>
  <si>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</si>
  <si>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</si>
  <si>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</si>
  <si>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</si>
  <si>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</si>
  <si>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</si>
  <si>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</si>
  <si>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</si>
  <si>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</si>
  <si>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</si>
  <si>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</si>
  <si>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</si>
  <si>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</si>
  <si>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</si>
  <si>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</si>
  <si>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</si>
  <si>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</si>
  <si>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</si>
  <si>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</si>
  <si>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</si>
  <si>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</si>
  <si>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</si>
  <si>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</si>
  <si>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</si>
  <si>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</si>
  <si>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</si>
  <si>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</si>
  <si>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</si>
  <si>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</si>
  <si>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</si>
  <si>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</si>
  <si>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</si>
  <si>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</si>
  <si>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</si>
  <si>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</si>
  <si>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</si>
  <si>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</si>
  <si>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</si>
  <si>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</si>
  <si>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</si>
  <si>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</si>
  <si>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</si>
  <si>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</si>
  <si>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</si>
  <si>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</si>
  <si>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</si>
  <si>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</si>
  <si>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</si>
  <si>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</si>
  <si>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</si>
  <si>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</si>
  <si>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</si>
  <si>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</si>
  <si>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</si>
  <si>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</si>
  <si>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</si>
  <si>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</si>
  <si>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</si>
  <si>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</si>
  <si>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</si>
  <si>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</si>
  <si>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</si>
  <si>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</si>
  <si>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</si>
  <si>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</si>
  <si>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</si>
  <si>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</si>
  <si>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</si>
  <si>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</si>
  <si>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</si>
  <si>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</si>
  <si>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</si>
  <si>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</si>
  <si>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</si>
  <si>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</si>
  <si>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</si>
  <si>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</si>
  <si>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</si>
  <si>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</si>
  <si>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</si>
  <si>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</si>
  <si>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</si>
  <si>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</si>
  <si>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</si>
  <si>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</si>
  <si>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</si>
  <si>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</si>
  <si>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</si>
  <si>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</si>
  <si>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</si>
  <si>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</si>
  <si>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</si>
  <si>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</si>
  <si>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</si>
  <si>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</si>
  <si>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</si>
  <si>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</si>
  <si>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</si>
  <si>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</si>
  <si>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</si>
  <si>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</si>
  <si>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</si>
  <si>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</si>
  <si>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</si>
  <si>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</si>
  <si>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</si>
  <si>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</si>
  <si>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</si>
  <si>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</si>
  <si>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</si>
  <si>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</si>
  <si>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</si>
  <si>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</si>
  <si>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</si>
  <si>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</si>
  <si>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</si>
  <si>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</si>
  <si>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</si>
  <si>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</si>
  <si>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</si>
  <si>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</si>
  <si>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</si>
  <si>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</si>
  <si>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</si>
  <si>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</si>
  <si>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</si>
  <si>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</si>
  <si>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</si>
  <si>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</si>
  <si>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</si>
  <si>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</si>
  <si>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</si>
  <si>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</si>
  <si>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</si>
  <si>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</si>
  <si>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</si>
  <si>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</si>
  <si>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</si>
  <si>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</si>
  <si>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</si>
  <si>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</si>
  <si>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</si>
  <si>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</si>
  <si>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</si>
  <si>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</si>
  <si>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</si>
  <si>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</si>
  <si>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</si>
  <si>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</si>
  <si>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</si>
  <si>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</si>
  <si>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</si>
  <si>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</si>
  <si>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</si>
  <si>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</si>
  <si>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</si>
  <si>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</si>
  <si>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</si>
  <si>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</si>
  <si>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</si>
  <si>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</si>
  <si>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</si>
  <si>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</si>
  <si>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</si>
  <si>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</si>
  <si>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</si>
  <si>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</si>
  <si>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</si>
  <si>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</si>
  <si>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</si>
  <si>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</si>
  <si>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</si>
  <si>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</si>
  <si>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</si>
  <si>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</si>
  <si>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</si>
  <si>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</si>
  <si>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</si>
  <si>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</si>
  <si>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</si>
  <si>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</si>
  <si>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</si>
  <si>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</si>
  <si>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</si>
  <si>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</si>
  <si>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</si>
  <si>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</si>
  <si>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</si>
  <si>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</si>
  <si>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</si>
  <si>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</si>
  <si>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</si>
  <si>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</si>
  <si>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</si>
  <si>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</si>
  <si>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</si>
  <si>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</si>
  <si>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</si>
  <si>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</si>
  <si>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</si>
  <si>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</si>
  <si>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</si>
  <si>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</si>
  <si>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</si>
  <si>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</si>
  <si>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</si>
  <si>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</si>
  <si>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</si>
  <si>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</si>
  <si>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</si>
  <si>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</si>
  <si>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</si>
  <si>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</si>
  <si>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</si>
  <si>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</si>
  <si>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</si>
  <si>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</si>
  <si>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</si>
  <si>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</si>
  <si>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</si>
  <si>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</si>
  <si>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</si>
  <si>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</si>
  <si>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</si>
  <si>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</si>
  <si>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</si>
  <si>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</si>
  <si>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</si>
  <si>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</si>
  <si>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</si>
  <si>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</si>
  <si>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</si>
  <si>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</si>
  <si>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</si>
  <si>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</si>
  <si>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</si>
  <si>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</si>
  <si>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</si>
  <si>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</si>
  <si>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</si>
  <si>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</si>
  <si>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</si>
  <si>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</si>
  <si>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</si>
  <si>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</si>
  <si>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</si>
  <si>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</si>
  <si>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</si>
  <si>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</si>
  <si>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</si>
  <si>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</si>
  <si>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</si>
  <si>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</si>
  <si>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</si>
  <si>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</si>
  <si>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</si>
  <si>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</si>
  <si>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</si>
  <si>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</si>
  <si>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</si>
  <si>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</si>
  <si>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</si>
  <si>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</si>
  <si>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</si>
  <si>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</si>
  <si>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</si>
  <si>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</si>
  <si>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</si>
  <si>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</si>
  <si>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</si>
  <si>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</si>
  <si>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</si>
  <si>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</si>
  <si>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</si>
  <si>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</si>
  <si>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</si>
  <si>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</si>
  <si>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</si>
  <si>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</si>
  <si>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</si>
  <si>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</si>
  <si>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</si>
  <si>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</si>
  <si>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</si>
  <si>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</si>
  <si>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</si>
  <si>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</si>
  <si>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</si>
  <si>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</si>
  <si>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</si>
  <si>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</si>
  <si>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</si>
  <si>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</si>
  <si>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</si>
  <si>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</si>
  <si>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</si>
  <si>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</si>
  <si>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</si>
  <si>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</si>
  <si>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</si>
  <si>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</si>
  <si>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</si>
  <si>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</si>
  <si>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</si>
  <si>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</si>
  <si>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</si>
  <si>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</si>
  <si>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</si>
  <si>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</si>
  <si>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</si>
  <si>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</si>
  <si>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</si>
  <si>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</si>
  <si>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</si>
  <si>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</si>
  <si>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</si>
  <si>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</si>
  <si>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</si>
  <si>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</si>
  <si>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</si>
  <si>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</si>
  <si>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</si>
  <si>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</si>
  <si>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</si>
  <si>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</si>
  <si>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</si>
  <si>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</si>
  <si>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</si>
  <si>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</si>
  <si>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</si>
  <si>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</si>
  <si>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</si>
  <si>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</si>
  <si>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</si>
  <si>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</si>
  <si>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</si>
  <si>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</si>
  <si>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</si>
  <si>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</si>
  <si>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</si>
  <si>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</si>
  <si>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</si>
  <si>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</si>
  <si>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</si>
  <si>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</si>
  <si>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</si>
  <si>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</si>
  <si>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</si>
  <si>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</si>
  <si>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</si>
  <si>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</si>
  <si>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</si>
  <si>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</si>
  <si>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</si>
  <si>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</si>
  <si>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</si>
  <si>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</si>
  <si>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</si>
  <si>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</si>
  <si>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</si>
  <si>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</si>
  <si>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</si>
  <si>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</si>
  <si>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</si>
  <si>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</si>
  <si>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</si>
  <si>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</si>
  <si>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</si>
  <si>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</si>
  <si>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</si>
  <si>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</si>
  <si>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</si>
  <si>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</si>
  <si>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</si>
  <si>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</si>
  <si>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</si>
  <si>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</si>
  <si>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</si>
  <si>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</si>
  <si>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</si>
  <si>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</si>
  <si>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</si>
  <si>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</si>
  <si>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</si>
  <si>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</si>
  <si>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</si>
  <si>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</si>
  <si>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</si>
  <si>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</si>
  <si>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</si>
  <si>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</si>
  <si>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</si>
  <si>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</si>
  <si>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</si>
  <si>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</si>
  <si>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</si>
  <si>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</si>
  <si>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</si>
  <si>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</si>
  <si>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</si>
  <si>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</si>
  <si>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</si>
  <si>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</si>
  <si>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</si>
  <si>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</si>
  <si>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</si>
  <si>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</si>
  <si>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</si>
  <si>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</si>
  <si>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</si>
  <si>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</si>
  <si>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</si>
  <si>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</si>
  <si>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</si>
  <si>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</si>
  <si>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</si>
  <si>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</si>
  <si>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</si>
  <si>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</si>
  <si>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</si>
  <si>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</si>
  <si>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</si>
  <si>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</si>
  <si>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</si>
  <si>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</si>
  <si>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</si>
  <si>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</si>
  <si>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</si>
  <si>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</si>
  <si>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</si>
  <si>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</si>
  <si>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</si>
  <si>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</si>
  <si>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</si>
  <si>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</si>
  <si>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</si>
  <si>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</si>
  <si>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</si>
  <si>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</si>
  <si>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</si>
  <si>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</si>
  <si>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</si>
  <si>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</si>
  <si>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</si>
  <si>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</si>
  <si>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</si>
  <si>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</si>
  <si>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</si>
  <si>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</si>
  <si>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</si>
  <si>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</si>
  <si>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</si>
  <si>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</si>
  <si>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</si>
  <si>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</si>
  <si>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</si>
  <si>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</si>
  <si>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</si>
  <si>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</si>
  <si>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</si>
  <si>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</si>
  <si>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</si>
  <si>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</si>
  <si>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</si>
  <si>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</si>
  <si>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</si>
  <si>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</si>
  <si>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</si>
  <si>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</si>
  <si>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</si>
  <si>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</si>
  <si>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</si>
  <si>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</si>
  <si>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</si>
  <si>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</si>
  <si>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</si>
  <si>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</si>
  <si>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</si>
  <si>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</si>
  <si>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</si>
  <si>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</si>
  <si>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</si>
  <si>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</si>
  <si>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</si>
  <si>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</si>
  <si>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</si>
  <si>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</si>
  <si>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</si>
  <si>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</si>
  <si>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</si>
  <si>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</si>
  <si>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</si>
  <si>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</si>
  <si>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</si>
  <si>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</si>
  <si>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</si>
  <si>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</si>
  <si>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</si>
  <si>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</si>
  <si>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</si>
  <si>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</si>
  <si>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</si>
  <si>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</si>
  <si>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</si>
  <si>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</si>
  <si>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</si>
  <si>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</si>
  <si>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</si>
  <si>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</si>
  <si>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</si>
  <si>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</si>
  <si>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</si>
  <si>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</si>
  <si>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</si>
  <si>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</si>
  <si>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</si>
  <si>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</si>
  <si>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</si>
  <si>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</si>
  <si>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</si>
  <si>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</si>
  <si>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</si>
  <si>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</si>
  <si>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</si>
  <si>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</si>
  <si>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</si>
  <si>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</si>
  <si>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</si>
  <si>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</si>
  <si>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</si>
  <si>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</si>
  <si>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</si>
  <si>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</si>
  <si>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</si>
  <si>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</si>
  <si>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</si>
  <si>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</si>
  <si>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</si>
  <si>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</si>
  <si>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</si>
  <si>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</si>
  <si>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</si>
  <si>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</si>
  <si>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</si>
  <si>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</si>
  <si>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</si>
  <si>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</si>
  <si>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</si>
  <si>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</si>
  <si>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</si>
  <si>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</si>
  <si>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</si>
  <si>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</si>
  <si>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</si>
  <si>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</si>
  <si>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</si>
  <si>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</si>
  <si>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</si>
  <si>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</si>
  <si>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</si>
  <si>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</si>
  <si>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</si>
  <si>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</si>
  <si>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</si>
  <si>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</si>
  <si>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</si>
  <si>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</si>
  <si>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</si>
  <si>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</si>
  <si>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</si>
  <si>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</si>
  <si>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</si>
  <si>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</si>
  <si>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</si>
  <si>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</si>
  <si>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</si>
  <si>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</si>
  <si>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</si>
  <si>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</si>
  <si>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</si>
  <si>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</si>
  <si>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</si>
  <si>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</si>
  <si>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</si>
  <si>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</si>
  <si>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</si>
  <si>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</si>
  <si>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</si>
  <si>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</si>
  <si>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</si>
  <si>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</si>
  <si>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</si>
  <si>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</si>
  <si>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</si>
  <si>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</si>
  <si>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</si>
  <si>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</si>
  <si>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</si>
  <si>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</si>
  <si>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</si>
  <si>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</si>
  <si>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</si>
  <si>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</si>
  <si>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</si>
  <si>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</si>
  <si>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</si>
  <si>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</si>
  <si>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</si>
  <si>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</si>
  <si>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</si>
  <si>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</si>
  <si>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</si>
  <si>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</si>
  <si>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</si>
  <si>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</si>
  <si>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</si>
  <si>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</si>
  <si>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</si>
  <si>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</si>
  <si>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</si>
  <si>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</si>
  <si>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</si>
  <si>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</si>
  <si>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</si>
  <si>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</si>
  <si>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</si>
  <si>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</si>
  <si>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</si>
  <si>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</si>
  <si>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</si>
  <si>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</si>
  <si>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</si>
  <si>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</si>
  <si>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</si>
  <si>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</si>
  <si>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</si>
  <si>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</si>
  <si>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</si>
  <si>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</si>
  <si>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</si>
  <si>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</si>
  <si>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</si>
  <si>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</si>
  <si>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</si>
  <si>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</si>
  <si>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</si>
  <si>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</si>
  <si>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</si>
  <si>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</si>
  <si>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</si>
  <si>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</si>
  <si>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</si>
  <si>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</si>
  <si>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</si>
  <si>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</si>
  <si>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</si>
  <si>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</si>
  <si>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</si>
  <si>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</si>
  <si>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</si>
  <si>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</si>
  <si>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</si>
  <si>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</si>
  <si>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</si>
  <si>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</si>
  <si>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</si>
  <si>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</si>
  <si>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</si>
  <si>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</si>
  <si>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</si>
  <si>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</si>
  <si>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</si>
  <si>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</si>
  <si>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</si>
  <si>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</si>
  <si>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</si>
  <si>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</si>
  <si>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</si>
  <si>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</si>
  <si>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</si>
  <si>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</si>
  <si>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</si>
  <si>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</si>
  <si>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</si>
  <si>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</si>
  <si>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</si>
  <si>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</si>
  <si>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</si>
  <si>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</si>
  <si>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</si>
  <si>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</si>
  <si>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</si>
  <si>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</si>
  <si>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</si>
  <si>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</si>
  <si>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</si>
  <si>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</si>
  <si>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</si>
  <si>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</si>
  <si>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</si>
  <si>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</si>
  <si>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</si>
  <si>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</si>
  <si>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</si>
  <si>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</si>
  <si>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</si>
  <si>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</si>
  <si>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</si>
  <si>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</si>
  <si>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</si>
  <si>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</si>
  <si>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</si>
  <si>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</si>
  <si>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</si>
  <si>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</si>
  <si>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</si>
  <si>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</si>
  <si>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</si>
  <si>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</si>
  <si>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</si>
  <si>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</si>
  <si>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</si>
  <si>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</si>
  <si>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</si>
  <si>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</si>
  <si>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</si>
  <si>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</si>
  <si>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</si>
  <si>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</si>
  <si>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</si>
  <si>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</si>
  <si>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</si>
  <si>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</si>
  <si>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</si>
  <si>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</si>
  <si>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</si>
  <si>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</si>
  <si>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</si>
  <si>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</si>
  <si>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</si>
  <si>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</si>
  <si>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</si>
  <si>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</si>
  <si>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</si>
  <si>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</si>
  <si>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</si>
  <si>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</si>
  <si>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</si>
  <si>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</si>
  <si>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</si>
  <si>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</si>
  <si>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</si>
  <si>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</si>
  <si>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</si>
  <si>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</si>
  <si>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</si>
  <si>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</si>
  <si>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</si>
  <si>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</si>
  <si>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</si>
  <si>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</si>
  <si>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</si>
  <si>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</si>
  <si>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</si>
  <si>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</si>
  <si>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</si>
  <si>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</si>
  <si>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</si>
  <si>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</si>
  <si>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</si>
  <si>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</si>
  <si>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</si>
  <si>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</si>
  <si>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</si>
  <si>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</si>
  <si>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</si>
  <si>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</si>
  <si>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</si>
  <si>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</si>
  <si>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</si>
  <si>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</si>
  <si>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</si>
  <si>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</si>
  <si>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</si>
  <si>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</si>
  <si>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</si>
  <si>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</si>
  <si>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</si>
  <si>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</si>
  <si>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</si>
  <si>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</si>
  <si>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</si>
  <si>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</si>
  <si>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</si>
  <si>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</si>
  <si>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</si>
  <si>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</si>
  <si>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</si>
  <si>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</si>
  <si>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</si>
  <si>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</si>
  <si>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</si>
  <si>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</si>
  <si>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</si>
  <si>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</si>
  <si>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</si>
  <si>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</si>
  <si>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</si>
  <si>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</si>
  <si>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</si>
  <si>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</si>
  <si>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</si>
  <si>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</si>
  <si>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</si>
  <si>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</si>
  <si>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</si>
  <si>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</si>
  <si>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</si>
  <si>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</si>
  <si>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</si>
  <si>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</si>
  <si>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</si>
  <si>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</si>
  <si>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</si>
  <si>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</si>
  <si>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</si>
  <si>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</si>
  <si>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</si>
  <si>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</si>
  <si>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</si>
  <si>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</si>
  <si>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</si>
  <si>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</si>
  <si>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</si>
  <si>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</si>
  <si>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</si>
  <si>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</si>
  <si>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</si>
  <si>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</si>
  <si>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</si>
  <si>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</si>
  <si>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</si>
  <si>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</si>
  <si>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</si>
  <si>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</si>
  <si>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</si>
  <si>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</si>
  <si>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</si>
  <si>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</si>
  <si>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</si>
  <si>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</si>
  <si>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</si>
  <si>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</si>
  <si>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</si>
  <si>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</si>
  <si>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</si>
  <si>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</si>
  <si>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</si>
  <si>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</si>
  <si>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</si>
  <si>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</si>
  <si>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</si>
  <si>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</si>
  <si>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</si>
  <si>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</si>
  <si>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</si>
  <si>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</si>
  <si>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</si>
  <si>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</si>
  <si>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</si>
  <si>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</si>
  <si>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</si>
  <si>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</si>
  <si>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</si>
  <si>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</si>
  <si>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</si>
  <si>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</si>
  <si>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</si>
  <si>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</si>
  <si>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</si>
  <si>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</si>
  <si>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</si>
  <si>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</si>
  <si>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</si>
  <si>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</si>
  <si>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</si>
  <si>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</si>
  <si>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</si>
  <si>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</si>
  <si>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</si>
  <si>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</si>
  <si>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</si>
  <si>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</si>
  <si>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</si>
  <si>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</si>
  <si>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</si>
  <si>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</si>
  <si>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</si>
  <si>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</si>
  <si>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</si>
  <si>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</si>
  <si>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</si>
  <si>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</si>
  <si>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</si>
  <si>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</si>
  <si>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</si>
  <si>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</si>
  <si>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</si>
  <si>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</si>
  <si>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</si>
  <si>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</si>
  <si>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</si>
  <si>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</si>
  <si>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</si>
  <si>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</si>
  <si>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</si>
  <si>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</si>
  <si>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</si>
  <si>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</si>
  <si>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</si>
  <si>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</si>
  <si>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</si>
  <si>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</si>
  <si>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</si>
  <si>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</si>
  <si>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</si>
  <si>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</si>
  <si>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</si>
  <si>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</si>
  <si>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</si>
  <si>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</si>
  <si>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</si>
  <si>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</si>
  <si>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</si>
  <si>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</si>
  <si>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</si>
  <si>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</si>
  <si>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</si>
  <si>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</si>
  <si>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</si>
  <si>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</si>
  <si>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</si>
  <si>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</si>
  <si>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</si>
  <si>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</si>
  <si>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</si>
  <si>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</si>
  <si>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</si>
  <si>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</si>
  <si>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</si>
  <si>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</si>
  <si>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</si>
  <si>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</si>
  <si>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</si>
  <si>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</si>
  <si>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</si>
  <si>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</si>
  <si>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</si>
  <si>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</si>
  <si>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</si>
  <si>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</si>
  <si>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</si>
  <si>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</si>
  <si>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</si>
  <si>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</si>
  <si>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</si>
  <si>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</si>
  <si>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</si>
  <si>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</si>
  <si>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</si>
  <si>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</si>
  <si>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</si>
  <si>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</si>
  <si>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</si>
  <si>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</si>
  <si>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</si>
  <si>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</si>
  <si>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</si>
  <si>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</si>
  <si>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</si>
  <si>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</si>
  <si>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</si>
  <si>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</si>
  <si>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</si>
  <si>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</si>
  <si>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</si>
  <si>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</si>
  <si>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</si>
  <si>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</si>
  <si>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</si>
  <si>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</si>
  <si>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</si>
  <si>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</si>
  <si>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</si>
  <si>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</si>
  <si>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</si>
  <si>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</si>
  <si>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</si>
  <si>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</si>
  <si>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</si>
  <si>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</si>
  <si>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</si>
  <si>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</si>
  <si>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</si>
  <si>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</si>
  <si>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</si>
  <si>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</si>
  <si>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</si>
  <si>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</si>
  <si>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</si>
  <si>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</si>
  <si>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</si>
  <si>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</si>
  <si>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</si>
  <si>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</si>
  <si>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</si>
  <si>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</si>
  <si>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</si>
  <si>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</si>
  <si>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</si>
  <si>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</si>
  <si>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</si>
  <si>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</si>
  <si>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</si>
  <si>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</si>
  <si>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</si>
  <si>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</si>
  <si>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</si>
  <si>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</si>
  <si>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</si>
  <si>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</si>
  <si>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</si>
  <si>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</si>
  <si>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</si>
  <si>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</si>
  <si>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</si>
  <si>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</si>
  <si>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</si>
  <si>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</si>
  <si>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</si>
  <si>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</si>
  <si>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</si>
  <si>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</si>
  <si>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</si>
  <si>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</si>
  <si>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</si>
  <si>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</si>
  <si>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</si>
  <si>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</si>
  <si>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</si>
  <si>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</si>
  <si>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</si>
  <si>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</si>
  <si>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</si>
  <si>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</si>
  <si>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</si>
  <si>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</si>
  <si>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</si>
  <si>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</si>
  <si>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</si>
  <si>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</si>
  <si>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</si>
  <si>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</si>
  <si>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</si>
  <si>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</si>
  <si>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</si>
  <si>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</si>
  <si>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</si>
  <si>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</si>
  <si>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</si>
  <si>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</si>
  <si>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</si>
  <si>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</si>
  <si>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</si>
  <si>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</si>
  <si>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</si>
  <si>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</si>
  <si>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</si>
  <si>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</si>
  <si>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</si>
  <si>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</si>
  <si>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</si>
  <si>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</si>
  <si>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</si>
  <si>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</si>
  <si>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</si>
  <si>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</si>
  <si>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</si>
  <si>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</si>
  <si>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</si>
  <si>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</si>
  <si>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</si>
  <si>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</si>
  <si>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</si>
  <si>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</si>
  <si>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</si>
  <si>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</si>
  <si>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</si>
  <si>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</si>
  <si>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</si>
  <si>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</si>
  <si>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</si>
  <si>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</si>
  <si>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</si>
  <si>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</si>
  <si>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</si>
  <si>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</si>
  <si>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</si>
  <si>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</si>
  <si>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</si>
  <si>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</si>
  <si>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</si>
  <si>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</si>
  <si>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</si>
  <si>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</si>
  <si>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</si>
  <si>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</si>
  <si>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</si>
  <si>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</si>
  <si>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</si>
  <si>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</si>
  <si>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</si>
  <si>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</si>
  <si>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</si>
  <si>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</si>
  <si>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</si>
  <si>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</si>
  <si>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</si>
  <si>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</si>
  <si>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</si>
  <si>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</si>
  <si>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</si>
  <si>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</si>
  <si>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</si>
  <si>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</si>
  <si>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</si>
  <si>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</si>
  <si>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</si>
  <si>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</si>
  <si>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</si>
  <si>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</si>
  <si>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</si>
  <si>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</si>
  <si>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</si>
  <si>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</si>
  <si>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</si>
  <si>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</si>
  <si>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</si>
  <si>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</si>
  <si>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</si>
  <si>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</si>
  <si>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</si>
  <si>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</si>
  <si>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</si>
  <si>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</si>
  <si>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</si>
  <si>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</si>
  <si>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</si>
  <si>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</si>
  <si>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</si>
  <si>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</si>
  <si>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</si>
  <si>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</si>
  <si>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</si>
  <si>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</si>
  <si>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</si>
  <si>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</si>
  <si>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</si>
  <si>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</si>
  <si>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</si>
  <si>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</si>
  <si>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</si>
  <si>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</si>
  <si>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</si>
  <si>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</si>
  <si>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</si>
  <si>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</si>
  <si>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</si>
  <si>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</si>
  <si>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</si>
  <si>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</si>
  <si>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</si>
  <si>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</si>
  <si>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</si>
  <si>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</si>
  <si>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</si>
  <si>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</si>
  <si>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</si>
  <si>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</si>
  <si>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</si>
  <si>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</si>
  <si>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</si>
  <si>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</si>
  <si>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</si>
  <si>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</si>
  <si>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</si>
  <si>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</si>
  <si>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</si>
  <si>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</si>
  <si>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</si>
  <si>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</si>
  <si>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</si>
  <si>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</si>
  <si>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</si>
  <si>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</si>
  <si>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</si>
  <si>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</si>
  <si>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</si>
  <si>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</si>
  <si>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</si>
  <si>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</si>
  <si>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</si>
  <si>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</si>
  <si>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</si>
  <si>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</si>
  <si>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</si>
  <si>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</si>
  <si>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</si>
  <si>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</si>
  <si>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</si>
  <si>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</si>
  <si>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</si>
  <si>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</si>
  <si>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</si>
  <si>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</si>
  <si>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</si>
  <si>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</si>
  <si>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</si>
  <si>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</si>
  <si>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</si>
  <si>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</si>
  <si>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</si>
  <si>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</si>
  <si>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</si>
  <si>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</si>
  <si>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</si>
  <si>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</si>
  <si>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</si>
  <si>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</si>
  <si>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</si>
  <si>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</si>
  <si>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</si>
  <si>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</si>
  <si>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</si>
  <si>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</si>
  <si>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</si>
  <si>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</si>
  <si>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</si>
  <si>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</si>
  <si>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</si>
  <si>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</si>
  <si>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</si>
  <si>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</si>
  <si>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</si>
  <si>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</si>
  <si>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</si>
  <si>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</si>
  <si>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</si>
  <si>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</si>
  <si>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</si>
  <si>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</si>
  <si>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</si>
  <si>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</si>
  <si>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</si>
  <si>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</si>
  <si>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</si>
  <si>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</si>
  <si>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</si>
  <si>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</si>
  <si>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</si>
  <si>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</si>
  <si>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</si>
  <si>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</si>
  <si>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</si>
  <si>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</si>
  <si>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</si>
  <si>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</si>
  <si>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</si>
  <si>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</si>
  <si>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</si>
  <si>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</si>
  <si>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</si>
  <si>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</si>
  <si>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</si>
  <si>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</si>
  <si>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</si>
  <si>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</si>
  <si>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</si>
  <si>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</si>
  <si>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</si>
  <si>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</si>
  <si>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</si>
  <si>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</si>
  <si>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</si>
  <si>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</si>
  <si>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</si>
  <si>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</si>
  <si>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</si>
  <si>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</si>
  <si>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</si>
  <si>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</si>
  <si>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</si>
  <si>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</si>
  <si>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</si>
  <si>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</si>
  <si>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</si>
  <si>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</si>
  <si>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</si>
  <si>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</si>
  <si>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</si>
  <si>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</si>
  <si>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</si>
  <si>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</si>
  <si>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</si>
  <si>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</si>
  <si>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</si>
  <si>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</si>
  <si>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</si>
  <si>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</si>
  <si>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</si>
  <si>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</si>
  <si>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</si>
  <si>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</si>
  <si>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</si>
  <si>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</si>
  <si>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</si>
  <si>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</si>
  <si>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</si>
  <si>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</si>
  <si>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</si>
  <si>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</si>
  <si>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</si>
  <si>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</si>
  <si>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</si>
  <si>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</si>
  <si>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</si>
  <si>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</si>
  <si>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</si>
  <si>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</si>
  <si>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</si>
  <si>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</si>
  <si>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</si>
  <si>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</si>
  <si>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</si>
  <si>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</si>
  <si>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</si>
  <si>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</si>
  <si>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</si>
  <si>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</si>
  <si>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</si>
  <si>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</si>
  <si>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</si>
  <si>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</si>
  <si>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</si>
  <si>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</si>
  <si>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</si>
  <si>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</si>
  <si>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</si>
  <si>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</si>
  <si>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</si>
  <si>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</si>
  <si>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</si>
  <si>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</si>
  <si>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</si>
  <si>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</si>
  <si>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</si>
  <si>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</si>
  <si>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</si>
  <si>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</si>
  <si>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</si>
  <si>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</si>
  <si>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</si>
  <si>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</si>
  <si>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</si>
  <si>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</si>
  <si>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</si>
  <si>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</si>
  <si>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</si>
  <si>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</si>
  <si>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</si>
  <si>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</si>
  <si>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</si>
  <si>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</si>
  <si>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</si>
  <si>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</si>
  <si>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</si>
  <si>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</si>
  <si>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</si>
  <si>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</si>
  <si>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</si>
  <si>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</si>
  <si>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</si>
  <si>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</si>
  <si>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</si>
  <si>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</si>
  <si>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</si>
  <si>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</si>
  <si>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</si>
  <si>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</si>
  <si>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</si>
  <si>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</si>
  <si>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</si>
  <si>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</si>
  <si>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</si>
  <si>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</si>
  <si>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</si>
  <si>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</si>
  <si>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</si>
  <si>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</si>
  <si>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</si>
  <si>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</si>
  <si>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</si>
  <si>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</si>
  <si>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</si>
  <si>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</si>
  <si>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</si>
  <si>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</si>
  <si>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</si>
  <si>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</si>
  <si>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</si>
  <si>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</si>
  <si>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</si>
  <si>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</si>
  <si>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</si>
  <si>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</si>
  <si>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</si>
  <si>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</si>
  <si>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</si>
  <si>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</si>
  <si>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</si>
  <si>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</si>
  <si>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</si>
  <si>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</si>
  <si>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</si>
  <si>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</si>
  <si>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</si>
  <si>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</si>
  <si>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</si>
  <si>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</si>
  <si>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</si>
  <si>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</si>
  <si>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</si>
  <si>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</si>
  <si>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</si>
  <si>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</si>
  <si>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</si>
  <si>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</si>
  <si>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</si>
  <si>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</si>
  <si>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</si>
  <si>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</si>
  <si>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</si>
  <si>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</si>
  <si>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</si>
  <si>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</si>
  <si>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</si>
  <si>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</si>
  <si>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</si>
  <si>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</si>
  <si>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</si>
  <si>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</si>
  <si>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</si>
  <si>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</si>
  <si>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</si>
  <si>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</si>
  <si>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</si>
  <si>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</si>
  <si>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</si>
  <si>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</si>
  <si>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</si>
  <si>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</si>
  <si>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</si>
  <si>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</si>
  <si>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</si>
  <si>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</si>
  <si>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</si>
  <si>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</si>
  <si>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</si>
  <si>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</si>
  <si>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</si>
  <si>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</si>
  <si>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</si>
  <si>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</si>
  <si>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</si>
  <si>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</si>
  <si>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</si>
  <si>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</si>
  <si>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</si>
  <si>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</si>
  <si>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</si>
  <si>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</si>
  <si>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</si>
  <si>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</si>
  <si>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</si>
  <si>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</si>
  <si>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</si>
  <si>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</si>
  <si>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</si>
  <si>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</si>
  <si>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</si>
  <si>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</si>
  <si>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</si>
  <si>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</si>
  <si>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</si>
  <si>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</si>
  <si>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</si>
  <si>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</si>
  <si>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</si>
  <si>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</si>
  <si>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</si>
  <si>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</si>
  <si>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</si>
  <si>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</si>
  <si>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</si>
  <si>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</si>
  <si>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</si>
  <si>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</si>
  <si>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</si>
  <si>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</si>
  <si>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</si>
  <si>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</si>
  <si>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</si>
  <si>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</si>
  <si>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</si>
  <si>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</si>
  <si>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</si>
  <si>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</si>
  <si>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</si>
  <si>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</si>
  <si>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</si>
  <si>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</si>
  <si>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</si>
  <si>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</si>
  <si>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</si>
  <si>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</si>
  <si>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</si>
  <si>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</si>
  <si>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</si>
  <si>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</si>
  <si>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</si>
  <si>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</si>
  <si>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</si>
  <si>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</si>
  <si>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</si>
  <si>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</si>
  <si>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</si>
  <si>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Cofee Type Name</t>
  </si>
  <si>
    <t>Roast Type Name</t>
  </si>
  <si>
    <t>ID</t>
  </si>
  <si>
    <t>Start time</t>
  </si>
  <si>
    <t>Completion time</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</si>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</sst>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6" formatCode="dd\-mmm\-yyyy"/>
    <numFmt numFmtId="168" formatCode="0.0\ &quot;kg&quot;"/>
    <numFmt numFmtId="170" formatCode="_([$$-409]* #,##0.00_);_([$$-409]* \(#,##0.00\);_([$$-409]*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8" fontId="1" fillId="0" borderId="0" xfId="0" applyNumberFormat="1" applyFont="1" applyAlignment="1">
      <alignment vertical="center"/>
    </xf>
    <xf numFmtId="168" fontId="0" fillId="0" borderId="0" xfId="0" applyNumberFormat="1"/>
    <xf numFmtId="170" fontId="1" fillId="0" borderId="0" xfId="0" applyNumberFormat="1" applyFont="1" applyAlignment="1">
      <alignment vertical="center"/>
    </xf>
    <xf numFmtId="170" fontId="0" fillId="0" borderId="0" xfId="0" applyNumberFormat="1"/>
    <xf numFmtId="0" fontId="0" fillId="0" borderId="0" xfId="0" applyNumberFormat="1"/>
    <xf numFmtId="22" fontId="0" fillId="0" borderId="0" xfId="0" applyNumberFormat="1"/>
  </cellXfs>
  <cellStyles count="1">
    <cellStyle name="Normal" xfId="0" builtinId="0"/>
  </cellStyles>
  <dxfs count="16">
    <dxf>
      <numFmt numFmtId="0" formatCode="General"/>
    </dxf>
    <dxf>
      <numFmt numFmtId="0" formatCode="General"/>
    </dxf>
    <dxf>
      <numFmt numFmtId="27" formatCode="d/m/yyyy\ h:mm"/>
    </dxf>
    <dxf>
      <numFmt numFmtId="27" formatCode="d/m/yyyy\ h:mm"/>
    </dxf>
    <dxf>
      <numFmt numFmtId="0" formatCode="General"/>
    </dxf>
    <dxf>
      <numFmt numFmtId="0" formatCode="General"/>
    </dxf>
    <dxf>
      <numFmt numFmtId="170" formatCode="_([$$-409]* #,##0.00_);_([$$-409]* \(#,##0.00\);_([$$-409]* &quot;-&quot;??_);_(@_)"/>
    </dxf>
    <dxf>
      <numFmt numFmtId="170" formatCode="_([$$-409]* #,##0.00_);_([$$-409]* \(#,##0.00\);_([$$-409]* &quot;-&quot;??_);_(@_)"/>
    </dxf>
    <dxf>
      <numFmt numFmtId="168"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N"/>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N"/>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N"/>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N"/>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N"/>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N"/>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N"/>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N"/>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N"/>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N"/>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N"/>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N"/>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N"/>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N"/>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N"/>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697226288924934E-2"/>
          <c:y val="7.5399540368458723E-2"/>
          <c:w val="0.8164005501986048"/>
          <c:h val="0.80760200429491769"/>
        </c:manualLayout>
      </c:layout>
      <c:lineChart>
        <c:grouping val="standard"/>
        <c:varyColors val="0"/>
        <c:ser>
          <c:idx val="0"/>
          <c:order val="0"/>
          <c:tx>
            <c:v>Arabica</c:v>
          </c:tx>
          <c:spPr>
            <a:ln w="28575" cap="rnd">
              <a:solidFill>
                <a:schemeClr val="accent2"/>
              </a:solidFill>
              <a:round/>
            </a:ln>
            <a:effectLst/>
          </c:spPr>
          <c:marker>
            <c:symbol val="none"/>
          </c:marker>
          <c:cat>
            <c:strLit>
              <c:ptCount val="4"/>
              <c:pt idx="0">
                <c:v>2020 Aug</c:v>
              </c:pt>
              <c:pt idx="1">
                <c:v>2020 Sep</c:v>
              </c:pt>
              <c:pt idx="2">
                <c:v>2020 Oct</c:v>
              </c:pt>
              <c:pt idx="3">
                <c:v>2020 Nov</c:v>
              </c:pt>
            </c:strLit>
          </c:cat>
          <c:val>
            <c:numLit>
              <c:formatCode>General</c:formatCode>
              <c:ptCount val="4"/>
              <c:pt idx="0">
                <c:v>22.5</c:v>
              </c:pt>
              <c:pt idx="1">
                <c:v>0</c:v>
              </c:pt>
              <c:pt idx="2">
                <c:v>97.874999999999986</c:v>
              </c:pt>
              <c:pt idx="3">
                <c:v>103.49999999999999</c:v>
              </c:pt>
            </c:numLit>
          </c:val>
          <c:smooth val="0"/>
          <c:extLst>
            <c:ext xmlns:c16="http://schemas.microsoft.com/office/drawing/2014/chart" uri="{C3380CC4-5D6E-409C-BE32-E72D297353CC}">
              <c16:uniqueId val="{00000000-8A78-EF49-8CFC-58201EB44BD5}"/>
            </c:ext>
          </c:extLst>
        </c:ser>
        <c:ser>
          <c:idx val="1"/>
          <c:order val="1"/>
          <c:tx>
            <c:v>Excelsa</c:v>
          </c:tx>
          <c:spPr>
            <a:ln w="28575" cap="rnd">
              <a:solidFill>
                <a:srgbClr val="7030A0"/>
              </a:solidFill>
              <a:round/>
            </a:ln>
            <a:effectLst/>
          </c:spPr>
          <c:marker>
            <c:symbol val="none"/>
          </c:marker>
          <c:cat>
            <c:strLit>
              <c:ptCount val="4"/>
              <c:pt idx="0">
                <c:v>2020 Aug</c:v>
              </c:pt>
              <c:pt idx="1">
                <c:v>2020 Sep</c:v>
              </c:pt>
              <c:pt idx="2">
                <c:v>2020 Oct</c:v>
              </c:pt>
              <c:pt idx="3">
                <c:v>2020 Nov</c:v>
              </c:pt>
            </c:strLit>
          </c:cat>
          <c:val>
            <c:numLit>
              <c:formatCode>General</c:formatCode>
              <c:ptCount val="4"/>
              <c:pt idx="0">
                <c:v>27.5</c:v>
              </c:pt>
              <c:pt idx="1">
                <c:v>68.75</c:v>
              </c:pt>
              <c:pt idx="2">
                <c:v>55</c:v>
              </c:pt>
              <c:pt idx="3">
                <c:v>0</c:v>
              </c:pt>
            </c:numLit>
          </c:val>
          <c:smooth val="0"/>
          <c:extLst>
            <c:ext xmlns:c16="http://schemas.microsoft.com/office/drawing/2014/chart" uri="{C3380CC4-5D6E-409C-BE32-E72D297353CC}">
              <c16:uniqueId val="{00000001-8A78-EF49-8CFC-58201EB44BD5}"/>
            </c:ext>
          </c:extLst>
        </c:ser>
        <c:ser>
          <c:idx val="2"/>
          <c:order val="2"/>
          <c:tx>
            <c:v>Liberica</c:v>
          </c:tx>
          <c:spPr>
            <a:ln w="28575" cap="rnd">
              <a:solidFill>
                <a:srgbClr val="FF0000"/>
              </a:solidFill>
              <a:round/>
            </a:ln>
            <a:effectLst/>
          </c:spPr>
          <c:marker>
            <c:symbol val="none"/>
          </c:marker>
          <c:cat>
            <c:strLit>
              <c:ptCount val="4"/>
              <c:pt idx="0">
                <c:v>2020 Aug</c:v>
              </c:pt>
              <c:pt idx="1">
                <c:v>2020 Sep</c:v>
              </c:pt>
              <c:pt idx="2">
                <c:v>2020 Oct</c:v>
              </c:pt>
              <c:pt idx="3">
                <c:v>2020 Nov</c:v>
              </c:pt>
            </c:strLit>
          </c:cat>
          <c:val>
            <c:numLit>
              <c:formatCode>General</c:formatCode>
              <c:ptCount val="4"/>
              <c:pt idx="0">
                <c:v>0</c:v>
              </c:pt>
              <c:pt idx="1">
                <c:v>17.46</c:v>
              </c:pt>
              <c:pt idx="2">
                <c:v>58.2</c:v>
              </c:pt>
              <c:pt idx="3">
                <c:v>0</c:v>
              </c:pt>
            </c:numLit>
          </c:val>
          <c:smooth val="0"/>
          <c:extLst>
            <c:ext xmlns:c16="http://schemas.microsoft.com/office/drawing/2014/chart" uri="{C3380CC4-5D6E-409C-BE32-E72D297353CC}">
              <c16:uniqueId val="{00000002-8A78-EF49-8CFC-58201EB44BD5}"/>
            </c:ext>
          </c:extLst>
        </c:ser>
        <c:ser>
          <c:idx val="3"/>
          <c:order val="3"/>
          <c:tx>
            <c:v>Robusta</c:v>
          </c:tx>
          <c:spPr>
            <a:ln w="28575" cap="rnd">
              <a:solidFill>
                <a:schemeClr val="accent6">
                  <a:lumMod val="75000"/>
                </a:schemeClr>
              </a:solidFill>
              <a:round/>
            </a:ln>
            <a:effectLst/>
          </c:spPr>
          <c:marker>
            <c:symbol val="none"/>
          </c:marker>
          <c:cat>
            <c:strLit>
              <c:ptCount val="4"/>
              <c:pt idx="0">
                <c:v>2020 Aug</c:v>
              </c:pt>
              <c:pt idx="1">
                <c:v>2020 Sep</c:v>
              </c:pt>
              <c:pt idx="2">
                <c:v>2020 Oct</c:v>
              </c:pt>
              <c:pt idx="3">
                <c:v>2020 Nov</c:v>
              </c:pt>
            </c:strLit>
          </c:cat>
          <c:val>
            <c:numLit>
              <c:formatCode>General</c:formatCode>
              <c:ptCount val="4"/>
              <c:pt idx="0">
                <c:v>5.97</c:v>
              </c:pt>
              <c:pt idx="1">
                <c:v>81.59</c:v>
              </c:pt>
              <c:pt idx="2">
                <c:v>0</c:v>
              </c:pt>
              <c:pt idx="3">
                <c:v>0</c:v>
              </c:pt>
            </c:numLit>
          </c:val>
          <c:smooth val="0"/>
          <c:extLst>
            <c:ext xmlns:c16="http://schemas.microsoft.com/office/drawing/2014/chart" uri="{C3380CC4-5D6E-409C-BE32-E72D297353CC}">
              <c16:uniqueId val="{00000003-8A78-EF49-8CFC-58201EB44BD5}"/>
            </c:ext>
          </c:extLst>
        </c:ser>
        <c:dLbls>
          <c:showLegendKey val="0"/>
          <c:showVal val="0"/>
          <c:showCatName val="0"/>
          <c:showSerName val="0"/>
          <c:showPercent val="0"/>
          <c:showBubbleSize val="0"/>
        </c:dLbls>
        <c:smooth val="0"/>
        <c:axId val="215420176"/>
        <c:axId val="215679456"/>
      </c:lineChart>
      <c:catAx>
        <c:axId val="215420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N"/>
          </a:p>
        </c:txPr>
        <c:crossAx val="215679456"/>
        <c:crosses val="autoZero"/>
        <c:auto val="1"/>
        <c:lblAlgn val="ctr"/>
        <c:lblOffset val="100"/>
        <c:noMultiLvlLbl val="0"/>
      </c:catAx>
      <c:valAx>
        <c:axId val="215679456"/>
        <c:scaling>
          <c:orientation val="minMax"/>
        </c:scaling>
        <c:delete val="0"/>
        <c:axPos val="l"/>
        <c:majorGridlines>
          <c:spPr>
            <a:ln w="9525" cap="flat" cmpd="sng" algn="ctr">
              <a:solidFill>
                <a:schemeClr val="accent3">
                  <a:lumMod val="5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N"/>
          </a:p>
        </c:txPr>
        <c:crossAx val="215420176"/>
        <c:crosses val="autoZero"/>
        <c:crossBetween val="between"/>
      </c:valAx>
      <c:spPr>
        <a:solidFill>
          <a:schemeClr val="accent3">
            <a:lumMod val="40000"/>
            <a:lumOff val="60000"/>
          </a:schemeClr>
        </a:solidFill>
        <a:ln>
          <a:solidFill>
            <a:schemeClr val="accent3">
              <a:lumMod val="50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accent3">
          <a:lumMod val="50000"/>
        </a:schemeClr>
      </a:solidFill>
      <a:round/>
    </a:ln>
    <a:effectLst/>
  </c:spPr>
  <c:txPr>
    <a:bodyPr/>
    <a:lstStyle/>
    <a:p>
      <a:pPr>
        <a:defRPr/>
      </a:pPr>
      <a:endParaRPr lang="en-TN"/>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TN"/>
        </a:p>
      </c:txPr>
    </c:title>
    <c:autoTitleDeleted val="0"/>
    <c:pivotFmts>
      <c:pivotFmt>
        <c:idx val="0"/>
        <c:spPr>
          <a:solidFill>
            <a:schemeClr val="accent3">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TN"/>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lumMod val="50000"/>
            </a:schemeClr>
          </a:solidFill>
          <a:ln>
            <a:noFill/>
          </a:ln>
          <a:effectLst/>
        </c:spPr>
      </c:pivotFmt>
      <c:pivotFmt>
        <c:idx val="2"/>
        <c:spPr>
          <a:solidFill>
            <a:schemeClr val="accent3">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TN"/>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TN"/>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v>Total</c:v>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TN"/>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Lit>
              <c:ptCount val="3"/>
              <c:pt idx="0">
                <c:v>United Kingdom</c:v>
              </c:pt>
              <c:pt idx="1">
                <c:v>Ireland</c:v>
              </c:pt>
              <c:pt idx="2">
                <c:v>United States</c:v>
              </c:pt>
            </c:strLit>
          </c:cat>
          <c:val>
            <c:numLit>
              <c:formatCode>General</c:formatCode>
              <c:ptCount val="3"/>
              <c:pt idx="0">
                <c:v>2798.5050000000001</c:v>
              </c:pt>
              <c:pt idx="1">
                <c:v>6696.8649999999989</c:v>
              </c:pt>
              <c:pt idx="2">
                <c:v>35638.88499999998</c:v>
              </c:pt>
            </c:numLit>
          </c:val>
          <c:extLst>
            <c:ext xmlns:c16="http://schemas.microsoft.com/office/drawing/2014/chart" uri="{C3380CC4-5D6E-409C-BE32-E72D297353CC}">
              <c16:uniqueId val="{00000000-6807-4948-A232-DB7C5368C755}"/>
            </c:ext>
          </c:extLst>
        </c:ser>
        <c:dLbls>
          <c:showLegendKey val="0"/>
          <c:showVal val="0"/>
          <c:showCatName val="0"/>
          <c:showSerName val="0"/>
          <c:showPercent val="0"/>
          <c:showBubbleSize val="0"/>
        </c:dLbls>
        <c:gapWidth val="182"/>
        <c:axId val="207514527"/>
        <c:axId val="208569215"/>
      </c:barChart>
      <c:catAx>
        <c:axId val="207514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TN"/>
          </a:p>
        </c:txPr>
        <c:crossAx val="208569215"/>
        <c:crosses val="autoZero"/>
        <c:auto val="1"/>
        <c:lblAlgn val="ctr"/>
        <c:lblOffset val="100"/>
        <c:noMultiLvlLbl val="0"/>
      </c:catAx>
      <c:valAx>
        <c:axId val="208569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TN"/>
          </a:p>
        </c:txPr>
        <c:crossAx val="20751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95000"/>
          <a:lumOff val="5000"/>
        </a:schemeClr>
      </a:solidFill>
      <a:round/>
    </a:ln>
    <a:effectLst/>
  </c:spPr>
  <c:txPr>
    <a:bodyPr/>
    <a:lstStyle/>
    <a:p>
      <a:pPr>
        <a:defRPr>
          <a:solidFill>
            <a:schemeClr val="tx1">
              <a:lumMod val="95000"/>
              <a:lumOff val="5000"/>
            </a:schemeClr>
          </a:solidFill>
        </a:defRPr>
      </a:pPr>
      <a:endParaRPr lang="en-TN"/>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Custumers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N"/>
        </a:p>
      </c:txPr>
    </c:title>
    <c:autoTitleDeleted val="0"/>
    <c:pivotFmts>
      <c:pivotFmt>
        <c:idx val="0"/>
        <c:spPr>
          <a:solidFill>
            <a:schemeClr val="accent3">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TN"/>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lumMod val="50000"/>
            </a:schemeClr>
          </a:solidFill>
          <a:ln>
            <a:noFill/>
          </a:ln>
          <a:effectLst/>
        </c:spPr>
      </c:pivotFmt>
      <c:pivotFmt>
        <c:idx val="2"/>
        <c:spPr>
          <a:solidFill>
            <a:schemeClr val="accent3">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TN"/>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TN"/>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TN"/>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TN"/>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v>Total</c:v>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TN"/>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Lit>
              <c:ptCount val="5"/>
              <c:pt idx="0">
                <c:v>#N/A</c:v>
              </c:pt>
              <c:pt idx="1">
                <c:v>Don Flintiff</c:v>
              </c:pt>
              <c:pt idx="2">
                <c:v>Brice Romera</c:v>
              </c:pt>
              <c:pt idx="3">
                <c:v>Alexa Sizey</c:v>
              </c:pt>
              <c:pt idx="4">
                <c:v>Allis Wilmore</c:v>
              </c:pt>
            </c:strLit>
          </c:cat>
          <c:val>
            <c:numLit>
              <c:formatCode>General</c:formatCode>
              <c:ptCount val="5"/>
              <c:pt idx="0">
                <c:v>1820.2049999999997</c:v>
              </c:pt>
              <c:pt idx="1">
                <c:v>278.01</c:v>
              </c:pt>
              <c:pt idx="2">
                <c:v>246.20999999999998</c:v>
              </c:pt>
              <c:pt idx="3">
                <c:v>218.73</c:v>
              </c:pt>
              <c:pt idx="4">
                <c:v>216.67499999999998</c:v>
              </c:pt>
            </c:numLit>
          </c:val>
          <c:extLst>
            <c:ext xmlns:c16="http://schemas.microsoft.com/office/drawing/2014/chart" uri="{C3380CC4-5D6E-409C-BE32-E72D297353CC}">
              <c16:uniqueId val="{00000000-E92C-5D4D-87F0-AB2843A8E8D1}"/>
            </c:ext>
          </c:extLst>
        </c:ser>
        <c:dLbls>
          <c:dLblPos val="outEnd"/>
          <c:showLegendKey val="0"/>
          <c:showVal val="1"/>
          <c:showCatName val="0"/>
          <c:showSerName val="0"/>
          <c:showPercent val="0"/>
          <c:showBubbleSize val="0"/>
        </c:dLbls>
        <c:gapWidth val="182"/>
        <c:axId val="207514527"/>
        <c:axId val="208569215"/>
      </c:barChart>
      <c:catAx>
        <c:axId val="207514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N"/>
          </a:p>
        </c:txPr>
        <c:crossAx val="208569215"/>
        <c:crosses val="autoZero"/>
        <c:auto val="1"/>
        <c:lblAlgn val="ctr"/>
        <c:lblOffset val="100"/>
        <c:noMultiLvlLbl val="0"/>
      </c:catAx>
      <c:valAx>
        <c:axId val="208569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N"/>
          </a:p>
        </c:txPr>
        <c:crossAx val="20751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95000"/>
          <a:lumOff val="5000"/>
        </a:schemeClr>
      </a:solidFill>
      <a:round/>
    </a:ln>
    <a:effectLst/>
  </c:spPr>
  <c:txPr>
    <a:bodyPr/>
    <a:lstStyle/>
    <a:p>
      <a:pPr>
        <a:defRPr/>
      </a:pPr>
      <a:endParaRPr lang="en-TN"/>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Orders Count by Size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TN"/>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lumMod val="50000"/>
            </a:schemeClr>
          </a:solidFill>
          <a:ln>
            <a:noFill/>
          </a:ln>
          <a:effectLst/>
        </c:spPr>
      </c:pivotFmt>
      <c:pivotFmt>
        <c:idx val="2"/>
        <c:spPr>
          <a:solidFill>
            <a:schemeClr val="accent3">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TN"/>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TN"/>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N"/>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N"/>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N"/>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0,2 kg</c:v>
              </c:pt>
              <c:pt idx="1">
                <c:v>0,5 kg</c:v>
              </c:pt>
              <c:pt idx="2">
                <c:v>1,0 kg</c:v>
              </c:pt>
              <c:pt idx="3">
                <c:v>2,5 kg</c:v>
              </c:pt>
            </c:strLit>
          </c:cat>
          <c:val>
            <c:numLit>
              <c:formatCode>General</c:formatCode>
              <c:ptCount val="4"/>
              <c:pt idx="0">
                <c:v>249</c:v>
              </c:pt>
              <c:pt idx="1">
                <c:v>268</c:v>
              </c:pt>
              <c:pt idx="2">
                <c:v>236</c:v>
              </c:pt>
              <c:pt idx="3">
                <c:v>247</c:v>
              </c:pt>
            </c:numLit>
          </c:val>
          <c:extLst>
            <c:ext xmlns:c16="http://schemas.microsoft.com/office/drawing/2014/chart" uri="{C3380CC4-5D6E-409C-BE32-E72D297353CC}">
              <c16:uniqueId val="{00000000-3D3E-8440-8AA0-0D83170081C3}"/>
            </c:ext>
          </c:extLst>
        </c:ser>
        <c:dLbls>
          <c:dLblPos val="outEnd"/>
          <c:showLegendKey val="0"/>
          <c:showVal val="1"/>
          <c:showCatName val="0"/>
          <c:showSerName val="0"/>
          <c:showPercent val="0"/>
          <c:showBubbleSize val="0"/>
        </c:dLbls>
        <c:gapWidth val="182"/>
        <c:axId val="207514527"/>
        <c:axId val="208569215"/>
      </c:barChart>
      <c:catAx>
        <c:axId val="2075145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Sizes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N"/>
          </a:p>
        </c:txPr>
        <c:crossAx val="208569215"/>
        <c:crosses val="autoZero"/>
        <c:auto val="1"/>
        <c:lblAlgn val="ctr"/>
        <c:lblOffset val="100"/>
        <c:noMultiLvlLbl val="0"/>
      </c:catAx>
      <c:valAx>
        <c:axId val="208569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N"/>
          </a:p>
        </c:txPr>
        <c:crossAx val="20751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95000"/>
          <a:lumOff val="5000"/>
        </a:schemeClr>
      </a:solidFill>
      <a:round/>
    </a:ln>
    <a:effectLst/>
  </c:spPr>
  <c:txPr>
    <a:bodyPr/>
    <a:lstStyle/>
    <a:p>
      <a:pPr>
        <a:defRPr/>
      </a:pPr>
      <a:endParaRPr lang="en-TN"/>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12700</xdr:rowOff>
    </xdr:from>
    <xdr:to>
      <xdr:col>25</xdr:col>
      <xdr:colOff>0</xdr:colOff>
      <xdr:row>5</xdr:row>
      <xdr:rowOff>165100</xdr:rowOff>
    </xdr:to>
    <xdr:sp macro="" textlink="">
      <xdr:nvSpPr>
        <xdr:cNvPr id="2" name="Rectangle 1">
          <a:extLst>
            <a:ext uri="{FF2B5EF4-FFF2-40B4-BE49-F238E27FC236}">
              <a16:creationId xmlns:a16="http://schemas.microsoft.com/office/drawing/2014/main" id="{D56ED03E-469A-F3DF-516F-47F4B4568493}"/>
            </a:ext>
          </a:extLst>
        </xdr:cNvPr>
        <xdr:cNvSpPr/>
      </xdr:nvSpPr>
      <xdr:spPr>
        <a:xfrm>
          <a:off x="142697" y="26970"/>
          <a:ext cx="19863370" cy="894422"/>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5400" b="1">
              <a:solidFill>
                <a:schemeClr val="accent2"/>
              </a:solidFill>
            </a:rPr>
            <a:t>Coffee</a:t>
          </a:r>
          <a:r>
            <a:rPr lang="en-US" sz="5400" b="1" baseline="0">
              <a:solidFill>
                <a:schemeClr val="accent2"/>
              </a:solidFill>
            </a:rPr>
            <a:t> Sales Dashboard</a:t>
          </a:r>
          <a:endParaRPr lang="en-US" sz="5400" b="1">
            <a:solidFill>
              <a:schemeClr val="accent2"/>
            </a:solidFill>
          </a:endParaRPr>
        </a:p>
      </xdr:txBody>
    </xdr:sp>
    <xdr:clientData/>
  </xdr:twoCellAnchor>
  <xdr:twoCellAnchor editAs="oneCell">
    <xdr:from>
      <xdr:col>0</xdr:col>
      <xdr:colOff>141768</xdr:colOff>
      <xdr:row>11</xdr:row>
      <xdr:rowOff>114155</xdr:rowOff>
    </xdr:from>
    <xdr:to>
      <xdr:col>13</xdr:col>
      <xdr:colOff>0</xdr:colOff>
      <xdr:row>18</xdr:row>
      <xdr:rowOff>79479</xdr:rowOff>
    </xdr:to>
    <mc:AlternateContent xmlns:mc="http://schemas.openxmlformats.org/markup-compatibility/2006">
      <mc:Choice xmlns:tsle="http://schemas.microsoft.com/office/drawing/2012/timeslicer" Requires="tsle">
        <xdr:graphicFrame macro="">
          <xdr:nvGraphicFramePr>
            <xdr:cNvPr id="3" name="Order Date 2">
              <a:extLst>
                <a:ext uri="{FF2B5EF4-FFF2-40B4-BE49-F238E27FC236}">
                  <a16:creationId xmlns:a16="http://schemas.microsoft.com/office/drawing/2014/main" id="{22716B88-1EB0-BD45-8BEE-76FF21AFDC83}"/>
                </a:ext>
              </a:extLst>
            </xdr:cNvPr>
            <xdr:cNvGraphicFramePr/>
          </xdr:nvGraphicFramePr>
          <xdr:xfrm>
            <a:off x="0" y="0"/>
            <a:ext cx="0" cy="0"/>
          </xdr:xfrm>
          <a:graphic>
            <a:graphicData uri="http://schemas.microsoft.com/office/drawing/2012/timeslicer">
              <tsle:timeslicer xmlns:tsle="http://schemas.microsoft.com/office/drawing/2012/timeslicer" name="Order Date 2"/>
            </a:graphicData>
          </a:graphic>
        </xdr:graphicFrame>
      </mc:Choice>
      <mc:Fallback>
        <xdr:sp macro="" textlink="">
          <xdr:nvSpPr>
            <xdr:cNvPr id="0" name=""/>
            <xdr:cNvSpPr>
              <a:spLocks noTextEdit="1"/>
            </xdr:cNvSpPr>
          </xdr:nvSpPr>
          <xdr:spPr>
            <a:xfrm>
              <a:off x="141768" y="1983481"/>
              <a:ext cx="9932614" cy="126386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129595</xdr:colOff>
      <xdr:row>19</xdr:row>
      <xdr:rowOff>148661</xdr:rowOff>
    </xdr:from>
    <xdr:to>
      <xdr:col>12</xdr:col>
      <xdr:colOff>818221</xdr:colOff>
      <xdr:row>48</xdr:row>
      <xdr:rowOff>156966</xdr:rowOff>
    </xdr:to>
    <xdr:graphicFrame macro="">
      <xdr:nvGraphicFramePr>
        <xdr:cNvPr id="4" name="Chart 3">
          <a:extLst>
            <a:ext uri="{FF2B5EF4-FFF2-40B4-BE49-F238E27FC236}">
              <a16:creationId xmlns:a16="http://schemas.microsoft.com/office/drawing/2014/main" id="{1D443478-2C60-B941-A3BC-B848AB43D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343804</xdr:colOff>
      <xdr:row>6</xdr:row>
      <xdr:rowOff>24924</xdr:rowOff>
    </xdr:from>
    <xdr:to>
      <xdr:col>12</xdr:col>
      <xdr:colOff>784832</xdr:colOff>
      <xdr:row>10</xdr:row>
      <xdr:rowOff>109591</xdr:rowOff>
    </xdr:to>
    <mc:AlternateContent xmlns:mc="http://schemas.openxmlformats.org/markup-compatibility/2006">
      <mc:Choice xmlns:a14="http://schemas.microsoft.com/office/drawing/2010/main" Requires="a14">
        <xdr:graphicFrame macro="">
          <xdr:nvGraphicFramePr>
            <xdr:cNvPr id="8" name="Roast Type Name 4">
              <a:extLst>
                <a:ext uri="{FF2B5EF4-FFF2-40B4-BE49-F238E27FC236}">
                  <a16:creationId xmlns:a16="http://schemas.microsoft.com/office/drawing/2014/main" id="{51601A4B-42CE-FB41-8817-08DF5120A9BC}"/>
                </a:ext>
              </a:extLst>
            </xdr:cNvPr>
            <xdr:cNvGraphicFramePr/>
          </xdr:nvGraphicFramePr>
          <xdr:xfrm>
            <a:off x="0" y="0"/>
            <a:ext cx="0" cy="0"/>
          </xdr:xfrm>
          <a:graphic>
            <a:graphicData uri="http://schemas.microsoft.com/office/drawing/2010/slicer">
              <sle:slicer xmlns:sle="http://schemas.microsoft.com/office/drawing/2010/slicer" name="Roast Type Name 4"/>
            </a:graphicData>
          </a:graphic>
        </xdr:graphicFrame>
      </mc:Choice>
      <mc:Fallback>
        <xdr:sp macro="" textlink="">
          <xdr:nvSpPr>
            <xdr:cNvPr id="0" name=""/>
            <xdr:cNvSpPr>
              <a:spLocks noTextEdit="1"/>
            </xdr:cNvSpPr>
          </xdr:nvSpPr>
          <xdr:spPr>
            <a:xfrm>
              <a:off x="7107624" y="966722"/>
              <a:ext cx="2923950" cy="8266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603315</xdr:colOff>
      <xdr:row>6</xdr:row>
      <xdr:rowOff>24925</xdr:rowOff>
    </xdr:from>
    <xdr:to>
      <xdr:col>9</xdr:col>
      <xdr:colOff>313933</xdr:colOff>
      <xdr:row>10</xdr:row>
      <xdr:rowOff>128427</xdr:rowOff>
    </xdr:to>
    <mc:AlternateContent xmlns:mc="http://schemas.openxmlformats.org/markup-compatibility/2006">
      <mc:Choice xmlns:a14="http://schemas.microsoft.com/office/drawing/2010/main" Requires="a14">
        <xdr:graphicFrame macro="">
          <xdr:nvGraphicFramePr>
            <xdr:cNvPr id="9" name="Loyalty Card 2">
              <a:extLst>
                <a:ext uri="{FF2B5EF4-FFF2-40B4-BE49-F238E27FC236}">
                  <a16:creationId xmlns:a16="http://schemas.microsoft.com/office/drawing/2014/main" id="{DD648206-682B-944A-A54C-11453E5C1D36}"/>
                </a:ext>
              </a:extLst>
            </xdr:cNvPr>
            <xdr:cNvGraphicFramePr/>
          </xdr:nvGraphicFramePr>
          <xdr:xfrm>
            <a:off x="0" y="0"/>
            <a:ext cx="0" cy="0"/>
          </xdr:xfrm>
          <a:graphic>
            <a:graphicData uri="http://schemas.microsoft.com/office/drawing/2010/slicer">
              <sle:slicer xmlns:sle="http://schemas.microsoft.com/office/drawing/2010/slicer" name="Loyalty Card 2"/>
            </a:graphicData>
          </a:graphic>
        </xdr:graphicFrame>
      </mc:Choice>
      <mc:Fallback>
        <xdr:sp macro="" textlink="">
          <xdr:nvSpPr>
            <xdr:cNvPr id="0" name=""/>
            <xdr:cNvSpPr>
              <a:spLocks noTextEdit="1"/>
            </xdr:cNvSpPr>
          </xdr:nvSpPr>
          <xdr:spPr>
            <a:xfrm>
              <a:off x="4056573" y="966723"/>
              <a:ext cx="3021180" cy="845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125574</xdr:colOff>
      <xdr:row>6</xdr:row>
      <xdr:rowOff>28539</xdr:rowOff>
    </xdr:from>
    <xdr:to>
      <xdr:col>5</xdr:col>
      <xdr:colOff>585058</xdr:colOff>
      <xdr:row>10</xdr:row>
      <xdr:rowOff>104739</xdr:rowOff>
    </xdr:to>
    <mc:AlternateContent xmlns:mc="http://schemas.openxmlformats.org/markup-compatibility/2006">
      <mc:Choice xmlns:a14="http://schemas.microsoft.com/office/drawing/2010/main" Requires="a14">
        <xdr:graphicFrame macro="">
          <xdr:nvGraphicFramePr>
            <xdr:cNvPr id="10" name="Size 2">
              <a:extLst>
                <a:ext uri="{FF2B5EF4-FFF2-40B4-BE49-F238E27FC236}">
                  <a16:creationId xmlns:a16="http://schemas.microsoft.com/office/drawing/2014/main" id="{061F4120-ABA0-4F4E-9647-0CE1BB402302}"/>
                </a:ext>
              </a:extLst>
            </xdr:cNvPr>
            <xdr:cNvGraphicFramePr/>
          </xdr:nvGraphicFramePr>
          <xdr:xfrm>
            <a:off x="0" y="0"/>
            <a:ext cx="0" cy="0"/>
          </xdr:xfrm>
          <a:graphic>
            <a:graphicData uri="http://schemas.microsoft.com/office/drawing/2010/slicer">
              <sle:slicer xmlns:sle="http://schemas.microsoft.com/office/drawing/2010/slicer" name="Size 2"/>
            </a:graphicData>
          </a:graphic>
        </xdr:graphicFrame>
      </mc:Choice>
      <mc:Fallback>
        <xdr:sp macro="" textlink="">
          <xdr:nvSpPr>
            <xdr:cNvPr id="0" name=""/>
            <xdr:cNvSpPr>
              <a:spLocks noTextEdit="1"/>
            </xdr:cNvSpPr>
          </xdr:nvSpPr>
          <xdr:spPr>
            <a:xfrm>
              <a:off x="125574" y="970337"/>
              <a:ext cx="3912742" cy="8182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128712</xdr:colOff>
      <xdr:row>6</xdr:row>
      <xdr:rowOff>67421</xdr:rowOff>
    </xdr:from>
    <xdr:to>
      <xdr:col>24</xdr:col>
      <xdr:colOff>813370</xdr:colOff>
      <xdr:row>18</xdr:row>
      <xdr:rowOff>42809</xdr:rowOff>
    </xdr:to>
    <xdr:graphicFrame macro="">
      <xdr:nvGraphicFramePr>
        <xdr:cNvPr id="11" name="Chart 10">
          <a:extLst>
            <a:ext uri="{FF2B5EF4-FFF2-40B4-BE49-F238E27FC236}">
              <a16:creationId xmlns:a16="http://schemas.microsoft.com/office/drawing/2014/main" id="{4F4D8867-0146-9141-ACCC-CE569AFB5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128713</xdr:colOff>
      <xdr:row>19</xdr:row>
      <xdr:rowOff>42952</xdr:rowOff>
    </xdr:from>
    <xdr:to>
      <xdr:col>25</xdr:col>
      <xdr:colOff>14270</xdr:colOff>
      <xdr:row>33</xdr:row>
      <xdr:rowOff>114158</xdr:rowOff>
    </xdr:to>
    <xdr:graphicFrame macro="">
      <xdr:nvGraphicFramePr>
        <xdr:cNvPr id="12" name="Chart 11">
          <a:extLst>
            <a:ext uri="{FF2B5EF4-FFF2-40B4-BE49-F238E27FC236}">
              <a16:creationId xmlns:a16="http://schemas.microsoft.com/office/drawing/2014/main" id="{EEFE4A78-52BF-9342-BD25-A092AFEFAF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85617</xdr:colOff>
      <xdr:row>34</xdr:row>
      <xdr:rowOff>28539</xdr:rowOff>
    </xdr:from>
    <xdr:to>
      <xdr:col>24</xdr:col>
      <xdr:colOff>827639</xdr:colOff>
      <xdr:row>48</xdr:row>
      <xdr:rowOff>174660</xdr:rowOff>
    </xdr:to>
    <xdr:graphicFrame macro="">
      <xdr:nvGraphicFramePr>
        <xdr:cNvPr id="13" name="Chart 12">
          <a:extLst>
            <a:ext uri="{FF2B5EF4-FFF2-40B4-BE49-F238E27FC236}">
              <a16:creationId xmlns:a16="http://schemas.microsoft.com/office/drawing/2014/main" id="{377EE5F1-5F9E-FA4D-858C-D309A1017E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dil Sahraoui" refreshedDate="45948.669553703701" createdVersion="8" refreshedVersion="8" minRefreshableVersion="3" recordCount="1000" xr:uid="{26850F76-7C88-6F49-9431-923D0BEA4A64}">
  <cacheSource type="worksheet">
    <worksheetSource name="Table1"/>
  </cacheSource>
  <cacheFields count="18">
    <cacheField name="Order ID" numFmtId="0">
      <sharedItems count="957">
        <s v="QEV-37451-860"/>
        <s v="FAA-43335-268"/>
        <s v="KAC-83089-793"/>
        <s v="CVP-18956-553"/>
        <s v="IPP-31994-879"/>
        <s v="SNZ-65340-705"/>
        <s v="EZT-46571-659"/>
        <s v="NWQ-70061-912"/>
        <s v="BKK-47233-845"/>
        <s v="VQR-01002-970"/>
        <s v="SZW-48378-399"/>
        <s v="ITA-87418-783"/>
        <s v="GNZ-46006-527"/>
        <s v="FYQ-78248-319"/>
        <s v="VAU-44387-624"/>
        <s v="RDW-33155-159"/>
        <s v="TDZ-59011-211"/>
        <s v="IDU-25793-399"/>
        <s v="NUO-20013-488"/>
        <s v="UQU-65630-479"/>
        <s v="FEO-11834-332"/>
        <s v="TKY-71558-096"/>
        <s v="OXY-65322-253"/>
        <s v="EVP-43500-491"/>
        <s v="WAG-26945-689"/>
        <s v="CHE-78995-767"/>
        <s v="RYZ-14633-602"/>
        <s v="WOQ-36015-429"/>
        <s v="SCT-60553-454"/>
        <s v="GFK-52063-244"/>
        <s v="AMM-79521-378"/>
        <s v="QUQ-90580-772"/>
        <s v="LGD-24408-274"/>
        <s v="HCT-95608-959"/>
        <s v="OFX-99147-470"/>
        <s v="LUO-37559-016"/>
        <s v="XWC-20610-167"/>
        <s v="GPU-79113-136"/>
        <s v="ULR-52653-960"/>
        <s v="HPI-42308-142"/>
        <s v="XHI-30227-581"/>
        <s v="DJH-05202-380"/>
        <s v="VMW-26889-781"/>
        <s v="DBU-81099-586"/>
        <s v="PQA-54820-810"/>
        <s v="XKB-41924-202"/>
        <s v="DWZ-69106-473"/>
        <s v="YHV-68700-050"/>
        <s v="KRB-88066-642"/>
        <s v="LQU-08404-173"/>
        <s v="CWK-60159-881"/>
        <s v="EEG-74197-843"/>
        <s v="UCZ-59708-525"/>
        <s v="HUB-47311-849"/>
        <s v="WYM-17686-694"/>
        <s v="ZYQ-15797-695"/>
        <s v="EEJ-16185-108"/>
        <s v="RWR-77888-800"/>
        <s v="LHN-75209-742"/>
        <s v="TIR-71396-998"/>
        <s v="RXF-37618-213"/>
        <s v="ANM-16388-634"/>
        <s v="WYL-29300-070"/>
        <s v="JHW-74554-805"/>
        <s v="KYS-27063-603"/>
        <s v="GAZ-58626-277"/>
        <s v="RPJ-37787-335"/>
        <s v="LEF-83057-763"/>
        <s v="RPW-36123-215"/>
        <s v="WLL-59044-117"/>
        <s v="AWT-22827-563"/>
        <s v="QLM-07145-668"/>
        <s v="HVQ-64398-930"/>
        <s v="WRT-40778-247"/>
        <s v="SUB-13006-125"/>
        <s v="CQM-49696-263"/>
        <s v="KXN-85094-246"/>
        <s v="XOQ-12405-419"/>
        <s v="HYF-10254-369"/>
        <s v="XXJ-47000-307"/>
        <s v="ZDK-82166-357"/>
        <s v="IHN-19982-362"/>
        <s v="VMT-10030-889"/>
        <s v="NHL-11063-100"/>
        <s v="ROV-87448-086"/>
        <s v="DGY-35773-612"/>
        <s v="YWH-50638-556"/>
        <s v="ISL-11200-600"/>
        <s v="LBZ-75997-047"/>
        <s v="EUH-08089-954"/>
        <s v="BLD-12227-251"/>
        <s v="OPY-30711-853"/>
        <s v="DBC-44122-300"/>
        <s v="FJQ-60035-234"/>
        <s v="HSF-66926-425"/>
        <s v="LQG-41416-375"/>
        <s v="VZO-97265-841"/>
        <s v="MOR-12987-399"/>
        <s v="UOA-23786-489"/>
        <s v="AJL-52941-018"/>
        <s v="XSZ-84273-421"/>
        <s v="NUN-48214-216"/>
        <s v="AKV-93064-769"/>
        <s v="BRB-40903-533"/>
        <s v="GPR-19973-483"/>
        <s v="XIY-43041-882"/>
        <s v="YGY-98425-969"/>
        <s v="MSB-08397-648"/>
        <s v="WDR-06028-345"/>
        <s v="MXM-42948-061"/>
        <s v="MGQ-98961-173"/>
        <s v="RFH-64349-897"/>
        <s v="TKL-20738-660"/>
        <s v="GOW-03198-575"/>
        <s v="QJB-90477-635"/>
        <s v="MWP-46239-785"/>
        <s v="QDV-03406-248"/>
        <s v="GPH-40635-105"/>
        <s v="JOM-80930-071"/>
        <s v="OIL-26493-755"/>
        <s v="CYV-13426-645"/>
        <s v="WRP-39846-614"/>
        <s v="VDZ-76673-968"/>
        <s v="VTV-03546-175"/>
        <s v="GHR-72274-715"/>
        <s v="ZGK-97262-313"/>
        <s v="ZFS-30776-804"/>
        <s v="QUU-91729-492"/>
        <s v="PVI-72795-960"/>
        <s v="PPP-78935-365"/>
        <s v="JUO-34131-517"/>
        <s v="ZJE-89333-489"/>
        <s v="LOO-35324-159"/>
        <s v="JBQ-93412-846"/>
        <s v="EHX-66333-637"/>
        <s v="WXG-25759-236"/>
        <s v="QNA-31113-984"/>
        <s v="ZWI-52029-159"/>
        <s v="DFS-49954-707"/>
        <s v="VYP-89830-878"/>
        <s v="AMT-40418-362"/>
        <s v="NFQ-23241-793"/>
        <s v="JQK-64922-985"/>
        <s v="YET-17732-678"/>
        <s v="NKW-24945-846"/>
        <s v="VKA-82720-513"/>
        <s v="THA-60599-417"/>
        <s v="MEK-39769-035"/>
        <s v="JAF-18294-750"/>
        <s v="TME-59627-221"/>
        <s v="UDG-65353-824"/>
        <s v="ENQ-42923-176"/>
        <s v="CBT-55781-720"/>
        <s v="NEU-86533-016"/>
        <s v="BYU-58154-603"/>
        <s v="EHJ-05910-257"/>
        <s v="EIL-44855-309"/>
        <s v="HCA-87224-420"/>
        <s v="ABO-29054-365"/>
        <s v="TKN-58485-031"/>
        <s v="RCK-04069-371"/>
        <s v="IRJ-67095-738"/>
        <s v="VEA-31961-977"/>
        <s v="BAF-42286-205"/>
        <s v="WOR-52762-511"/>
        <s v="ZWK-03995-815"/>
        <s v="CKF-43291-846"/>
        <s v="RMW-74160-339"/>
        <s v="FMT-94584-786"/>
        <s v="NWT-78222-575"/>
        <s v="EOI-02511-919"/>
        <s v="UCT-03935-589"/>
        <s v="SBI-60013-494"/>
        <s v="QRA-73277-814"/>
        <s v="EQE-31648-909"/>
        <s v="QOO-24615-950"/>
        <s v="WDV-73864-037"/>
        <s v="PKR-88575-066"/>
        <s v="BWR-85735-955"/>
        <s v="YFX-64795-136"/>
        <s v="DDO-71442-967"/>
        <s v="ILQ-11027-588"/>
        <s v="KRZ-13868-122"/>
        <s v="VRM-93594-914"/>
        <s v="HXL-22497-359"/>
        <s v="NOP-21394-646"/>
        <s v="FTV-77095-168"/>
        <s v="BOR-02906-411"/>
        <s v="WMP-68847-770"/>
        <s v="TMO-22785-872"/>
        <s v="TJG-73587-353"/>
        <s v="OOU-61343-455"/>
        <s v="RMA-08327-369"/>
        <s v="SFB-97929-779"/>
        <s v="AUP-10128-606"/>
        <s v="YTW-40242-005"/>
        <s v="PRP-53390-819"/>
        <s v="GSJ-01065-125"/>
        <s v="YQU-65147-580"/>
        <s v="QPM-95832-683"/>
        <s v="BNQ-88920-567"/>
        <s v="PUX-47906-110"/>
        <s v="COL-72079-610"/>
        <s v="LBC-45686-819"/>
        <s v="BLQ-03709-265"/>
        <s v="VFZ-91673-181"/>
        <s v="WKD-81956-870"/>
        <s v="TNI-91067-006"/>
        <s v="IZA-61469-812"/>
        <s v="PSS-22466-862"/>
        <s v="REH-56504-397"/>
        <s v="ALA-62598-016"/>
        <s v="EYE-70374-835"/>
        <s v="CCZ-19589-212"/>
        <s v="BPT-83989-157"/>
        <s v="YFH-87456-208"/>
        <s v="JLN-14700-924"/>
        <s v="JVW-22582-137"/>
        <s v="LAA-41879-001"/>
        <s v="BRV-64870-915"/>
        <s v="RGJ-12544-083"/>
        <s v="JJX-83339-346"/>
        <s v="BIU-21970-705"/>
        <s v="ELJ-87741-745"/>
        <s v="SGI-48226-857"/>
        <s v="AHV-66988-037"/>
        <s v="ISK-42066-094"/>
        <s v="FTC-35822-530"/>
        <s v="VSS-56247-688"/>
        <s v="HVW-25584-144"/>
        <s v="MUY-15309-209"/>
        <s v="VAJ-44572-469"/>
        <s v="YJU-84377-606"/>
        <s v="VNC-93921-469"/>
        <s v="OGB-91614-810"/>
        <s v="BQI-61647-496"/>
        <s v="IOM-51636-823"/>
        <s v="GGD-38107-641"/>
        <s v="LTO-95975-728"/>
        <s v="IGM-84664-265"/>
        <s v="SKO-45740-621"/>
        <s v="FOJ-02234-063"/>
        <s v="MSJ-11909-468"/>
        <s v="DKB-78053-329"/>
        <s v="DFZ-45083-941"/>
        <s v="OTA-40969-710"/>
        <s v="GRH-45571-667"/>
        <s v="NXV-05302-067"/>
        <s v="VZH-86274-142"/>
        <s v="KIX-93248-135"/>
        <s v="AXR-10962-010"/>
        <s v="IHS-71573-008"/>
        <s v="QTR-19001-114"/>
        <s v="WBK-62297-910"/>
        <s v="OGY-19377-175"/>
        <s v="ESR-66651-814"/>
        <s v="CPX-46916-770"/>
        <s v="MDC-03318-645"/>
        <s v="SFF-86059-407"/>
        <s v="SCL-94540-788"/>
        <s v="HVU-21634-076"/>
        <s v="XUS-73326-418"/>
        <s v="XWD-18933-006"/>
        <s v="HPD-65272-772"/>
        <s v="JEG-93140-224"/>
        <s v="NNH-62058-950"/>
        <s v="LTD-71429-845"/>
        <s v="MPV-26985-215"/>
        <s v="IYO-10245-081"/>
        <s v="BYZ-39669-954"/>
        <s v="EFB-72860-209"/>
        <s v="GMM-72397-378"/>
        <s v="LYP-52345-883"/>
        <s v="DFK-35846-692"/>
        <s v="XAH-93337-609"/>
        <s v="QKA-72582-644"/>
        <s v="ZDK-84567-102"/>
        <s v="WAV-38301-984"/>
        <s v="KZR-33023-209"/>
        <s v="ULM-49433-003"/>
        <s v="SIB-83254-136"/>
        <s v="NOK-50349-551"/>
        <s v="YIS-96268-844"/>
        <s v="CXI-04933-855"/>
        <s v="IZU-90429-382"/>
        <s v="WIT-40912-783"/>
        <s v="PSD-57291-590"/>
        <s v="GOI-41472-677"/>
        <s v="KTX-17944-494"/>
        <s v="RDM-99811-230"/>
        <s v="JTU-55897-581"/>
        <s v="CRK-07584-240"/>
        <s v="MKE-75518-399"/>
        <s v="AEL-51169-725"/>
        <s v="ZGM-83108-823"/>
        <s v="JBP-78754-392"/>
        <s v="RNH-54912-747"/>
        <s v="JDS-33440-914"/>
        <s v="SYX-48878-182"/>
        <s v="ZGD-94763-868"/>
        <s v="CZY-70361-485"/>
        <s v="RJR-12175-899"/>
        <s v="ELB-07929-407"/>
        <s v="UJQ-54441-340"/>
        <s v="OWY-43108-475"/>
        <s v="GNO-91911-159"/>
        <s v="CNY-06284-066"/>
        <s v="OQS-46321-904"/>
        <s v="IBW-87442-480"/>
        <s v="DGZ-82537-477"/>
        <s v="LPS-39089-432"/>
        <s v="MQU-86100-929"/>
        <s v="XUR-14132-391"/>
        <s v="OVI-27064-381"/>
        <s v="SHP-17012-870"/>
        <s v="FDY-03414-903"/>
        <s v="WXT-85291-143"/>
        <s v="QNP-18893-547"/>
        <s v="DOH-92927-530"/>
        <s v="HGJ-82768-173"/>
        <s v="YPT-95383-088"/>
        <s v="OYH-16533-767"/>
        <s v="DWW-28642-549"/>
        <s v="CGO-79583-871"/>
        <s v="TFY-52090-386"/>
        <s v="NYY-73968-094"/>
        <s v="QEY-71761-460"/>
        <s v="GKQ-82603-910"/>
        <s v="IOB-32673-745"/>
        <s v="YAU-98893-150"/>
        <s v="XNM-14163-951"/>
        <s v="JPB-45297-000"/>
        <s v="MOU-74341-266"/>
        <s v="DHJ-87461-571"/>
        <s v="DKM-97676-850"/>
        <s v="UEB-09112-118"/>
        <s v="ORZ-67699-748"/>
        <s v="JXP-28398-485"/>
        <s v="WWH-92259-198"/>
        <s v="FLR-82914-153"/>
        <s v="AMB-93600-000"/>
        <s v="FEP-36895-658"/>
        <s v="RXW-91413-276"/>
        <s v="SDB-77492-188"/>
        <s v="RZN-65182-395"/>
        <s v="HDQ-86094-507"/>
        <s v="YXO-79631-417"/>
        <s v="SNF-57032-096"/>
        <s v="DGL-29648-995"/>
        <s v="GPU-65651-504"/>
        <s v="OJU-34452-896"/>
        <s v="GZS-50547-887"/>
        <s v="ESR-54041-053"/>
        <s v="OGD-10781-526"/>
        <s v="FVH-29271-315"/>
        <s v="BNZ-20544-633"/>
        <s v="FUX-85791-078"/>
        <s v="YXP-20078-116"/>
        <s v="VQV-59984-866"/>
        <s v="JEH-37276-048"/>
        <s v="VYD-28555-589"/>
        <s v="WUG-76466-650"/>
        <s v="RJV-08261-583"/>
        <s v="PMR-56062-609"/>
        <s v="XLD-12920-505"/>
        <s v="UBW-50312-037"/>
        <s v="QAW-05889-019"/>
        <s v="EPT-12715-397"/>
        <s v="DHT-93810-053"/>
        <s v="DMY-96037-963"/>
        <s v="MBM-55936-917"/>
        <s v="TPA-93614-840"/>
        <s v="WDM-77521-710"/>
        <s v="EIP-19142-462"/>
        <s v="ZZL-76364-387"/>
        <s v="GMF-18638-786"/>
        <s v="TDJ-20844-787"/>
        <s v="BWK-39400-446"/>
        <s v="LCB-02099-995"/>
        <s v="UBA-43678-174"/>
        <s v="UDH-24280-432"/>
        <s v="IDQ-20193-502"/>
        <s v="DJG-14442-608"/>
        <s v="DWB-61381-370"/>
        <s v="FRD-17347-990"/>
        <s v="YPP-27450-525"/>
        <s v="EFC-39577-424"/>
        <s v="LAW-80062-016"/>
        <s v="WKL-27981-758"/>
        <s v="VRT-39834-265"/>
        <s v="QTC-71005-730"/>
        <s v="TNX-09857-717"/>
        <s v="JZV-43874-185"/>
        <s v="ICF-17486-106"/>
        <s v="BMK-49520-383"/>
        <s v="HTS-15020-632"/>
        <s v="YLE-18247-749"/>
        <s v="KJJ-12573-591"/>
        <s v="RGU-43561-950"/>
        <s v="JSN-73975-443"/>
        <s v="WNR-71736-993"/>
        <s v="HNI-91338-546"/>
        <s v="CYH-53243-218"/>
        <s v="SVD-75407-177"/>
        <s v="NVN-66443-451"/>
        <s v="JUA-13580-095"/>
        <s v="ACY-56225-839"/>
        <s v="QBB-07903-622"/>
        <s v="JLJ-81802-619"/>
        <s v="HFT-77191-168"/>
        <s v="SZR-35951-530"/>
        <s v="IKL-95976-565"/>
        <s v="XEY-48929-474"/>
        <s v="SQT-07286-736"/>
        <s v="QDU-45390-361"/>
        <s v="RUJ-30649-712"/>
        <s v="WSV-49732-075"/>
        <s v="VJF-46305-323"/>
        <s v="CXD-74176-600"/>
        <s v="ADX-50674-975"/>
        <s v="RRP-51647-420"/>
        <s v="PKJ-99134-523"/>
        <s v="FZQ-29439-457"/>
        <s v="USN-68115-161"/>
        <s v="IXU-20263-532"/>
        <s v="CBT-15092-420"/>
        <s v="PKQ-46841-696"/>
        <s v="XDU-05471-219"/>
        <s v="NID-20149-329"/>
        <s v="SVU-27222-213"/>
        <s v="RWI-84131-848"/>
        <s v="GUU-40666-525"/>
        <s v="SCN-51395-066"/>
        <s v="ULA-24644-321"/>
        <s v="EOL-92666-762"/>
        <s v="AJV-18231-334"/>
        <s v="ZQI-47236-301"/>
        <s v="ZCR-15721-658"/>
        <s v="QEW-47945-682"/>
        <s v="PSY-45485-542"/>
        <s v="BAQ-74241-156"/>
        <s v="BVU-77367-451"/>
        <s v="TJE-91516-344"/>
        <s v="LIS-96202-702"/>
        <s v="VIO-27668-766"/>
        <s v="ZVG-20473-043"/>
        <s v="KGZ-56395-231"/>
        <s v="CUU-92244-729"/>
        <s v="EHE-94714-312"/>
        <s v="RTL-16205-161"/>
        <s v="GTS-22482-014"/>
        <s v="DYG-25473-881"/>
        <s v="HTR-21838-286"/>
        <s v="KYG-28296-920"/>
        <s v="NNB-20459-430"/>
        <s v="FEK-14025-351"/>
        <s v="AWH-16980-469"/>
        <s v="ZPW-31329-741"/>
        <s v="UBI-83843-396"/>
        <s v="VID-40587-569"/>
        <s v="KBB-52530-416"/>
        <s v="ISJ-48676-420"/>
        <s v="MIF-17920-768"/>
        <s v="CPX-19312-088"/>
        <s v="RXI-67978-260"/>
        <s v="LKE-14821-285"/>
        <s v="LRK-97117-150"/>
        <s v="IGK-51227-573"/>
        <s v="ZAY-43009-775"/>
        <s v="EMA-63190-618"/>
        <s v="FBI-35855-418"/>
        <s v="TXB-80533-417"/>
        <s v="MBM-00112-248"/>
        <s v="EUO-69145-988"/>
        <s v="GYA-80327-368"/>
        <s v="TNW-41601-420"/>
        <s v="ALR-62963-723"/>
        <s v="JIG-27636-870"/>
        <s v="CTE-31437-326"/>
        <s v="SLD-63003-334"/>
        <s v="BXN-64230-789"/>
        <s v="XEE-37895-169"/>
        <s v="ZTX-80764-911"/>
        <s v="WVT-88135-549"/>
        <s v="IPA-94170-889"/>
        <s v="YQL-63755-365"/>
        <s v="RKW-81145-984"/>
        <s v="MBT-23379-866"/>
        <s v="GEJ-39834-935"/>
        <s v="KRW-91640-596"/>
        <s v="AOT-70449-651"/>
        <s v="DGC-21813-731"/>
        <s v="JBE-92943-643"/>
        <s v="ZIL-34948-499"/>
        <s v="JSU-23781-256"/>
        <s v="VPX-44956-367"/>
        <s v="VTB-46451-959"/>
        <s v="DNZ-11665-950"/>
        <s v="ITR-54735-364"/>
        <s v="YDS-02797-307"/>
        <s v="BPG-68988-842"/>
        <s v="XZG-51938-658"/>
        <s v="KAR-24978-271"/>
        <s v="FQK-28730-361"/>
        <s v="BGB-67996-089"/>
        <s v="XMC-20620-809"/>
        <s v="ZSO-58292-191"/>
        <s v="LWJ-06793-303"/>
        <s v="FLM-82229-989"/>
        <s v="CPV-90280-133"/>
        <s v="OGW-60685-912"/>
        <s v="DEC-11160-362"/>
        <s v="WCT-07869-499"/>
        <s v="FHD-89872-325"/>
        <s v="AZF-45991-584"/>
        <s v="MDG-14481-513"/>
        <s v="OFN-49424-848"/>
        <s v="NFA-03411-746"/>
        <s v="CYM-74988-450"/>
        <s v="WTV-24996-658"/>
        <s v="DSL-69915-544"/>
        <s v="NBT-35757-542"/>
        <s v="OYU-25085-528"/>
        <s v="XCG-07109-195"/>
        <s v="YZA-25234-630"/>
        <s v="OKU-29966-417"/>
        <s v="MEX-29350-659"/>
        <s v="NOY-99738-977"/>
        <s v="TCR-01064-030"/>
        <s v="YUL-42750-776"/>
        <s v="XQJ-86887-506"/>
        <s v="CUN-90044-279"/>
        <s v="ICC-73030-502"/>
        <s v="ADP-04506-084"/>
        <s v="PNU-22150-408"/>
        <s v="VSQ-07182-513"/>
        <s v="SPF-31673-217"/>
        <s v="NEX-63825-598"/>
        <s v="XPG-66112-335"/>
        <s v="NSQ-72210-345"/>
        <s v="XRR-28376-277"/>
        <s v="WHQ-25197-475"/>
        <s v="HMB-30634-745"/>
        <s v="XTL-68000-371"/>
        <s v="YES-51109-625"/>
        <s v="EAY-89850-211"/>
        <s v="IOQ-84840-827"/>
        <s v="FBD-56220-430"/>
        <s v="COV-52659-202"/>
        <s v="YUO-76652-814"/>
        <s v="PBT-36926-102"/>
        <s v="BLV-60087-454"/>
        <s v="QYC-63914-195"/>
        <s v="OIB-77163-890"/>
        <s v="SGS-87525-238"/>
        <s v="GQR-12490-152"/>
        <s v="UOJ-28238-299"/>
        <s v="ETD-58130-674"/>
        <s v="UPF-60123-025"/>
        <s v="NQS-01613-687"/>
        <s v="MGH-36050-573"/>
        <s v="UVF-59322-459"/>
        <s v="VET-41158-896"/>
        <s v="XYL-52196-459"/>
        <s v="BPZ-51283-916"/>
        <s v="VQW-91903-926"/>
        <s v="OLF-77983-457"/>
        <s v="MVI-04946-827"/>
        <s v="UOG-94188-104"/>
        <s v="DSN-15872-519"/>
        <s v="OUQ-73954-002"/>
        <s v="LGL-16843-667"/>
        <s v="TCC-89722-031"/>
        <s v="TRA-79507-007"/>
        <s v="MZJ-77284-941"/>
        <s v="AXN-57779-891"/>
        <s v="PJB-15659-994"/>
        <s v="LTS-03470-353"/>
        <s v="UMM-28497-689"/>
        <s v="MJZ-93232-402"/>
        <s v="UHW-74617-126"/>
        <s v="RIK-61730-794"/>
        <s v="IDJ-55379-750"/>
        <s v="OHX-11953-965"/>
        <s v="TVV-42245-088"/>
        <s v="DYP-74337-787"/>
        <s v="OKA-93124-100"/>
        <s v="IXW-20780-268"/>
        <s v="NGG-24006-937"/>
        <s v="JZC-31180-557"/>
        <s v="ZMU-63715-204"/>
        <s v="GND-08192-056"/>
        <s v="RYY-38961-093"/>
        <s v="CVA-64996-969"/>
        <s v="XTH-67276-442"/>
        <s v="PVU-02950-470"/>
        <s v="XSN-26809-910"/>
        <s v="UDN-88321-005"/>
        <s v="EXP-21628-670"/>
        <s v="VGM-24161-361"/>
        <s v="PKN-19556-918"/>
        <s v="DXQ-44537-297"/>
        <s v="BPC-54727-307"/>
        <s v="KSH-47717-456"/>
        <s v="ANK-59436-446"/>
        <s v="AYY-83051-752"/>
        <s v="CSW-59644-267"/>
        <s v="ITY-92466-909"/>
        <s v="IGW-04801-466"/>
        <s v="LJN-34281-921"/>
        <s v="BWZ-46364-547"/>
        <s v="SBC-95710-706"/>
        <s v="WRN-55114-031"/>
        <s v="TZU-64255-831"/>
        <s v="JVF-91003-729"/>
        <s v="MVB-22135-665"/>
        <s v="CKS-47815-571"/>
        <s v="OAW-17338-101"/>
        <s v="ALP-37623-536"/>
        <s v="WMU-87639-108"/>
        <s v="USN-44968-231"/>
        <s v="YZG-20575-451"/>
        <s v="HTH-52867-812"/>
        <s v="FWU-44971-444"/>
        <s v="EQI-82205-066"/>
        <s v="NAR-00747-074"/>
        <s v="JYR-22052-185"/>
        <s v="XKO-54097-932"/>
        <s v="HXA-72415-025"/>
        <s v="MJF-20065-335"/>
        <s v="GFI-83300-059"/>
        <s v="WJR-51493-682"/>
        <s v="SHP-55648-472"/>
        <s v="HYR-03455-684"/>
        <s v="HUG-52766-375"/>
        <s v="DAH-46595-917"/>
        <s v="VEM-79839-466"/>
        <s v="OWH-11126-533"/>
        <s v="UMT-26130-151"/>
        <s v="JKA-27899-806"/>
        <s v="ULU-07744-724"/>
        <s v="NOM-56457-507"/>
        <s v="NZN-71683-705"/>
        <s v="WMA-34232-850"/>
        <s v="EZL-27919-704"/>
        <s v="ZYU-11345-774"/>
        <s v="CPW-34587-459"/>
        <s v="NQZ-82067-394"/>
        <s v="JBW-95055-851"/>
        <s v="AHY-20324-088"/>
        <s v="ZSL-66684-103"/>
        <s v="WNE-73911-475"/>
        <s v="EZB-68383-559"/>
        <s v="OVO-01283-090"/>
        <s v="TXH-78646-919"/>
        <s v="CYZ-37122-164"/>
        <s v="AGQ-06534-750"/>
        <s v="QVL-32245-818"/>
        <s v="LTD-96842-834"/>
        <s v="SEC-91807-425"/>
        <s v="MHM-44857-599"/>
        <s v="KGC-95046-911"/>
        <s v="RZC-75150-413"/>
        <s v="EYH-88288-452"/>
        <s v="NYQ-24237-772"/>
        <s v="WKB-21680-566"/>
        <s v="THE-61147-027"/>
        <s v="PTY-86420-119"/>
        <s v="QHL-27188-431"/>
        <s v="MIS-54381-047"/>
        <s v="TBB-29780-459"/>
        <s v="QLC-52637-305"/>
        <s v="CWT-27056-328"/>
        <s v="ASS-05878-128"/>
        <s v="EGK-03027-418"/>
        <s v="KCY-61732-849"/>
        <s v="BLI-21697-702"/>
        <s v="KFJ-46568-890"/>
        <s v="SOK-43535-680"/>
        <s v="XUE-87260-201"/>
        <s v="CZF-40873-691"/>
        <s v="AIA-98989-755"/>
        <s v="ITZ-21793-986"/>
        <s v="YOK-93322-608"/>
        <s v="LXK-00634-611"/>
        <s v="CQW-37388-302"/>
        <s v="SPA-79365-334"/>
        <s v="VPX-08817-517"/>
        <s v="PBP-87115-410"/>
        <s v="SFB-93752-440"/>
        <s v="TBU-65158-068"/>
        <s v="TEH-08414-216"/>
        <s v="MAY-77231-536"/>
        <s v="ATY-28980-884"/>
        <s v="SWP-88281-918"/>
        <s v="VCE-56531-986"/>
        <s v="FVV-75700-005"/>
        <s v="CFZ-53492-600"/>
        <s v="LDK-71031-121"/>
        <s v="EBA-82404-343"/>
        <s v="USA-42811-560"/>
        <s v="SNL-83703-516"/>
        <s v="SUZ-83036-175"/>
        <s v="RGM-01187-513"/>
        <s v="CZG-01299-952"/>
        <s v="KLD-88731-484"/>
        <s v="BQK-38412-229"/>
        <s v="TCX-76953-071"/>
        <s v="LIN-88046-551"/>
        <s v="PMV-54491-220"/>
        <s v="SKA-73676-005"/>
        <s v="TKH-62197-239"/>
        <s v="YXF-57218-272"/>
        <s v="PKJ-30083-501"/>
        <s v="WTT-91832-645"/>
        <s v="TRZ-94735-865"/>
        <s v="UDB-09651-780"/>
        <s v="EHJ-82097-549"/>
        <s v="ZFR-79447-696"/>
        <s v="NUU-03893-975"/>
        <s v="GVG-59542-307"/>
        <s v="YLY-35287-172"/>
        <s v="DCI-96254-548"/>
        <s v="KHZ-26264-253"/>
        <s v="AAQ-13644-699"/>
        <s v="LWL-68108-794"/>
        <s v="JQT-14347-517"/>
        <s v="BMM-86471-923"/>
        <s v="IXU-67272-326"/>
        <s v="ITE-28312-615"/>
        <s v="ZHQ-30471-635"/>
        <s v="LTP-31133-134"/>
        <s v="ZVQ-26122-859"/>
        <s v="MIU-01481-194"/>
        <s v="UEA-72681-629"/>
        <s v="CVE-15042-481"/>
        <s v="EJA-79176-833"/>
        <s v="AHQ-40440-522"/>
        <s v="TID-21626-411"/>
        <s v="RSR-96390-187"/>
        <s v="BZE-96093-118"/>
        <s v="LOU-41819-242"/>
        <s v="FND-99527-640"/>
        <s v="ASG-27179-958"/>
        <s v="YKX-23510-272"/>
        <s v="FSA-98650-921"/>
        <s v="ZUR-55774-294"/>
        <s v="FUO-99821-974"/>
        <s v="YVH-19865-819"/>
        <s v="NNF-47422-501"/>
        <s v="RJI-71409-490"/>
        <s v="UZL-46108-213"/>
        <s v="AOX-44467-109"/>
        <s v="TZD-67261-174"/>
        <s v="TBU-64277-625"/>
        <s v="TYP-85767-944"/>
        <s v="GTT-73214-334"/>
        <s v="WAI-89905-069"/>
        <s v="OJL-96844-459"/>
        <s v="VGI-33205-360"/>
        <s v="PCA-14081-576"/>
        <s v="SCS-67069-962"/>
        <s v="BDM-03174-485"/>
        <s v="UJV-32333-364"/>
        <s v="FLI-11493-954"/>
        <s v="IWL-13117-537"/>
        <s v="OAM-76916-748"/>
        <s v="UMB-11223-710"/>
        <s v="LXR-09892-726"/>
        <s v="QXX-89943-393"/>
        <s v="WVS-57822-366"/>
        <s v="CLJ-23403-689"/>
        <s v="XNU-83276-288"/>
        <s v="YOG-94666-679"/>
        <s v="KHG-33953-115"/>
        <s v="MHD-95615-696"/>
        <s v="HBH-64794-080"/>
        <s v="CNJ-56058-223"/>
        <s v="KHO-27106-786"/>
        <s v="YAC-50329-982"/>
        <s v="VVL-95291-039"/>
        <s v="VUT-20974-364"/>
        <s v="SFC-34054-213"/>
        <s v="UDS-04807-593"/>
        <s v="FWE-98471-488"/>
        <s v="RAU-17060-674"/>
        <s v="AOL-13866-711"/>
        <s v="NOA-79645-377"/>
        <s v="KMS-49214-806"/>
        <s v="ABK-08091-531"/>
        <s v="GPT-67705-953"/>
        <s v="JNA-21450-177"/>
        <s v="MPQ-23421-608"/>
        <s v="NLI-63891-565"/>
        <s v="HHF-36647-854"/>
        <s v="SBN-16537-046"/>
        <s v="XZD-44484-632"/>
        <s v="IKQ-39946-768"/>
        <s v="KMB-95211-174"/>
        <s v="QWY-99467-368"/>
        <s v="SRG-76791-614"/>
        <s v="VSN-94485-621"/>
        <s v="UFZ-24348-219"/>
        <s v="UKS-93055-397"/>
        <s v="AVH-56062-335"/>
        <s v="HGE-19842-613"/>
        <s v="WBA-85905-175"/>
        <s v="DZI-35365-596"/>
        <s v="XIR-88982-743"/>
        <s v="VUC-72395-865"/>
        <s v="BQJ-44755-910"/>
        <s v="JKC-64636-831"/>
        <s v="ZKI-78561-066"/>
        <s v="IMP-12563-728"/>
        <s v="MZL-81126-390"/>
        <s v="TVF-57766-608"/>
        <s v="RUX-37995-892"/>
        <s v="AVK-76526-953"/>
        <s v="RIU-02231-623"/>
        <s v="WFK-99317-827"/>
        <s v="SFD-00372-284"/>
        <s v="SXC-62166-515"/>
        <s v="YIE-87008-621"/>
        <s v="HRM-94548-288"/>
        <s v="UJG-34731-295"/>
        <s v="TWD-70988-853"/>
        <s v="CIX-22904-641"/>
        <s v="DLV-65840-759"/>
        <s v="RXN-55491-201"/>
        <s v="UHK-63283-868"/>
        <s v="PJC-31401-893"/>
        <s v="HHO-79903-185"/>
        <s v="YWM-07310-594"/>
        <s v="FHD-94983-982"/>
        <s v="WQK-10857-119"/>
        <s v="DXA-50313-073"/>
        <s v="ONW-00560-570"/>
        <s v="BRJ-19414-277"/>
        <s v="MIQ-16322-908"/>
        <s v="MVO-39328-830"/>
        <s v="NTJ-88319-746"/>
        <s v="LCY-24377-948"/>
        <s v="FWD-85967-769"/>
        <s v="KTO-53793-109"/>
        <s v="OCK-89033-348"/>
        <s v="GPZ-36017-366"/>
        <s v="BZP-33213-637"/>
        <s v="WFH-21507-708"/>
        <s v="HST-96923-073"/>
        <s v="ENN-79947-323"/>
        <s v="BHA-47429-889"/>
        <s v="SZY-63017-318"/>
        <s v="LCU-93317-340"/>
        <s v="UOM-71431-481"/>
        <s v="PJH-42618-877"/>
        <s v="XED-90333-402"/>
        <s v="IKK-62234-199"/>
        <s v="KAW-95195-329"/>
        <s v="QDO-57268-842"/>
        <s v="IIZ-24416-212"/>
        <s v="AWP-11469-510"/>
        <s v="KXA-27983-918"/>
        <s v="VKQ-39009-292"/>
        <s v="PDB-98743-282"/>
        <s v="SXW-34014-556"/>
        <s v="QOJ-38788-727"/>
        <s v="TGF-38649-658"/>
        <s v="EAI-25194-209"/>
        <s v="IJK-34441-720"/>
        <s v="ZMC-00336-619"/>
        <s v="UPX-54529-618"/>
        <s v="DLX-01059-899"/>
        <s v="MEK-85120-243"/>
        <s v="NFI-37188-246"/>
        <s v="BXH-62195-013"/>
        <s v="YLK-78851-470"/>
        <s v="DXY-76225-633"/>
        <s v="UHP-24614-199"/>
        <s v="HBY-35655-049"/>
        <s v="DCE-22886-861"/>
        <s v="QTG-93823-843"/>
        <s v="WFT-16178-396"/>
        <s v="ERC-54560-934"/>
        <s v="RUK-78200-416"/>
        <s v="KHK-13105-388"/>
        <s v="NJR-03699-189"/>
        <s v="PJV-20427-019"/>
        <s v="UGK-07613-982"/>
        <s v="OLA-68289-577"/>
        <s v="TNR-84447-052"/>
        <s v="FBZ-64200-586"/>
        <s v="OBN-66334-505"/>
        <s v="NXM-89323-646"/>
        <s v="NHI-23264-055"/>
        <s v="EQH-53569-934"/>
        <s v="XKK-06692-189"/>
        <s v="BYP-16005-016"/>
        <s v="LWS-13938-905"/>
        <s v="OLH-95722-362"/>
        <s v="KCW-50949-318"/>
        <s v="JGZ-16947-591"/>
        <s v="LXS-63326-144"/>
        <s v="CZG-86544-655"/>
        <s v="WFV-88138-247"/>
        <s v="RFG-28227-288"/>
        <s v="QAK-77286-758"/>
        <s v="CZD-56716-840"/>
        <s v="UBI-59229-277"/>
        <s v="WJJ-37489-898"/>
        <s v="ORX-57454-917"/>
        <s v="GRB-68838-629"/>
        <s v="SHT-04865-419"/>
        <s v="UQI-28177-865"/>
        <s v="OIB-13664-879"/>
        <s v="PJS-30996-485"/>
        <s v="HEL-86709-449"/>
        <s v="NCH-55389-562"/>
        <s v="GUG-45603-775"/>
        <s v="KJB-98240-098"/>
        <s v="JMS-48374-462"/>
        <s v="YIT-15877-117"/>
        <s v="YVK-82679-655"/>
        <s v="TYH-81940-054"/>
        <s v="HTY-30660-254"/>
        <s v="GPW-43956-761"/>
        <s v="DWY-56352-412"/>
        <s v="PUH-55647-976"/>
        <s v="DTB-71371-705"/>
        <s v="ZDC-64769-740"/>
        <s v="TED-81959-419"/>
        <s v="FDO-25756-141"/>
        <s v="HKN-31467-517"/>
        <s v="POF-29666-012"/>
        <s v="IRX-59256-644"/>
        <s v="LTN-89139-350"/>
        <s v="TXF-79780-017"/>
        <s v="ALM-80762-974"/>
        <s v="NXF-15738-707"/>
        <s v="MVV-19034-198"/>
        <s v="KUX-19632-830"/>
        <s v="SNZ-44595-152"/>
        <s v="GQA-37241-629"/>
        <s v="WVV-79948-067"/>
        <s v="LHX-81117-166"/>
        <s v="GCD-75444-320"/>
        <s v="SGA-30059-217"/>
        <s v="GNL-98714-885"/>
        <s v="OQA-93249-841"/>
        <s v="DUV-12075-132"/>
        <s v="KPO-24942-184"/>
        <s v="SRJ-79353-838"/>
        <s v="XBV-40336-071"/>
        <s v="RLM-96511-467"/>
        <s v="AEZ-13242-456"/>
        <s v="UME-75640-698"/>
        <s v="GJC-66474-557"/>
        <s v="IRV-20769-219"/>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e v="#N/A"/>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8">
      <sharedItems containsSemiMixedTypes="0" containsString="0" containsNumber="1" minValue="0.2" maxValue="2.5" count="4">
        <n v="1"/>
        <n v="0.5"/>
        <n v="2.5"/>
        <n v="0.2"/>
      </sharedItems>
    </cacheField>
    <cacheField name="Unit Price" numFmtId="170">
      <sharedItems containsSemiMixedTypes="0" containsString="0" containsNumber="1" minValue="2.6849999999999996" maxValue="36.454999999999998"/>
    </cacheField>
    <cacheField name="Sales" numFmtId="170">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Co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2/1/2019"/>
          <s v="Jan"/>
          <s v="Feb"/>
          <s v="Mar"/>
          <s v="Apr"/>
          <s v="May"/>
          <s v="Jun"/>
          <s v="Jul"/>
          <s v="Aug"/>
          <s v="Sep"/>
          <s v="Oct"/>
          <s v="Nov"/>
          <s v="Dec"/>
          <s v="&gt;20/8/2022"/>
        </groupItems>
      </fieldGroup>
    </cacheField>
    <cacheField name="Years (Order Date)" numFmtId="0" databaseField="0">
      <fieldGroup base="1">
        <rangePr groupBy="years" startDate="2019-01-02T00:00:00" endDate="2022-08-20T00:00:00"/>
        <groupItems count="6">
          <s v="&lt;2/1/2019"/>
          <s v="2019"/>
          <s v="2020"/>
          <s v="2021"/>
          <s v="2022"/>
          <s v="&gt;20/8/2022"/>
        </groupItems>
      </fieldGroup>
    </cacheField>
  </cacheFields>
  <extLst>
    <ext xmlns:x14="http://schemas.microsoft.com/office/spreadsheetml/2009/9/main" uri="{725AE2AE-9491-48be-B2B4-4EB974FC3084}">
      <x14:pivotCacheDefinition pivotCacheId="20782073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R-M-1"/>
    <n v="2"/>
    <x v="0"/>
    <s v="aallner0@lulu.com"/>
    <x v="0"/>
    <s v="Rob"/>
    <s v="M"/>
    <x v="0"/>
    <n v="9.9499999999999993"/>
    <x v="0"/>
    <x v="0"/>
    <x v="0"/>
    <x v="0"/>
  </r>
  <r>
    <x v="0"/>
    <x v="0"/>
    <x v="0"/>
    <s v="E-M-0.5"/>
    <n v="5"/>
    <x v="0"/>
    <s v="aallner0@lulu.com"/>
    <x v="0"/>
    <s v="Exc"/>
    <s v="M"/>
    <x v="1"/>
    <n v="8.25"/>
    <x v="1"/>
    <x v="1"/>
    <x v="0"/>
    <x v="0"/>
  </r>
  <r>
    <x v="1"/>
    <x v="1"/>
    <x v="1"/>
    <s v="A-L-1"/>
    <n v="1"/>
    <x v="1"/>
    <s v="jredholes2@tmall.com"/>
    <x v="0"/>
    <s v="Ara"/>
    <s v="L"/>
    <x v="0"/>
    <n v="12.95"/>
    <x v="2"/>
    <x v="2"/>
    <x v="1"/>
    <x v="0"/>
  </r>
  <r>
    <x v="2"/>
    <x v="2"/>
    <x v="2"/>
    <s v="E-M-1"/>
    <n v="2"/>
    <x v="2"/>
    <s v=""/>
    <x v="1"/>
    <s v="Exc"/>
    <s v="M"/>
    <x v="0"/>
    <n v="13.75"/>
    <x v="3"/>
    <x v="1"/>
    <x v="0"/>
    <x v="1"/>
  </r>
  <r>
    <x v="2"/>
    <x v="2"/>
    <x v="2"/>
    <s v="R-L-2.5"/>
    <n v="2"/>
    <x v="2"/>
    <s v=""/>
    <x v="1"/>
    <s v="Rob"/>
    <s v="L"/>
    <x v="2"/>
    <n v="27.484999999999996"/>
    <x v="4"/>
    <x v="0"/>
    <x v="1"/>
    <x v="1"/>
  </r>
  <r>
    <x v="3"/>
    <x v="3"/>
    <x v="3"/>
    <s v="L-D-1"/>
    <n v="3"/>
    <x v="3"/>
    <s v=""/>
    <x v="0"/>
    <s v="Lib"/>
    <s v="D"/>
    <x v="0"/>
    <n v="12.95"/>
    <x v="5"/>
    <x v="3"/>
    <x v="2"/>
    <x v="1"/>
  </r>
  <r>
    <x v="4"/>
    <x v="4"/>
    <x v="4"/>
    <s v="E-D-0.5"/>
    <n v="3"/>
    <x v="4"/>
    <s v="slobe6@nifty.com"/>
    <x v="0"/>
    <s v="Exc"/>
    <s v="D"/>
    <x v="1"/>
    <n v="7.29"/>
    <x v="6"/>
    <x v="1"/>
    <x v="2"/>
    <x v="0"/>
  </r>
  <r>
    <x v="5"/>
    <x v="5"/>
    <x v="5"/>
    <s v="L-L-0.2"/>
    <n v="1"/>
    <x v="5"/>
    <s v=""/>
    <x v="1"/>
    <s v="Lib"/>
    <s v="L"/>
    <x v="3"/>
    <n v="4.7549999999999999"/>
    <x v="7"/>
    <x v="3"/>
    <x v="1"/>
    <x v="0"/>
  </r>
  <r>
    <x v="6"/>
    <x v="6"/>
    <x v="6"/>
    <s v="R-M-0.5"/>
    <n v="3"/>
    <x v="6"/>
    <s v="gpetracci8@livejournal.com"/>
    <x v="0"/>
    <s v="Rob"/>
    <s v="M"/>
    <x v="1"/>
    <n v="5.97"/>
    <x v="8"/>
    <x v="0"/>
    <x v="0"/>
    <x v="1"/>
  </r>
  <r>
    <x v="7"/>
    <x v="0"/>
    <x v="7"/>
    <s v="R-M-0.5"/>
    <n v="1"/>
    <x v="7"/>
    <s v="rraven9@ed.gov"/>
    <x v="0"/>
    <s v="Rob"/>
    <s v="M"/>
    <x v="1"/>
    <n v="5.97"/>
    <x v="9"/>
    <x v="0"/>
    <x v="0"/>
    <x v="1"/>
  </r>
  <r>
    <x v="8"/>
    <x v="7"/>
    <x v="8"/>
    <s v="A-D-1"/>
    <n v="4"/>
    <x v="8"/>
    <s v="fferbera@businesswire.com"/>
    <x v="0"/>
    <s v="Ara"/>
    <s v="D"/>
    <x v="0"/>
    <n v="9.9499999999999993"/>
    <x v="10"/>
    <x v="2"/>
    <x v="2"/>
    <x v="1"/>
  </r>
  <r>
    <x v="9"/>
    <x v="8"/>
    <x v="9"/>
    <s v="E-L-2.5"/>
    <n v="5"/>
    <x v="9"/>
    <s v="dphizackerlyb@utexas.edu"/>
    <x v="0"/>
    <s v="Exc"/>
    <s v="L"/>
    <x v="2"/>
    <n v="34.154999999999994"/>
    <x v="11"/>
    <x v="1"/>
    <x v="1"/>
    <x v="0"/>
  </r>
  <r>
    <x v="10"/>
    <x v="9"/>
    <x v="10"/>
    <s v="R-M-1"/>
    <n v="5"/>
    <x v="10"/>
    <s v="rscholarc@nyu.edu"/>
    <x v="0"/>
    <s v="Rob"/>
    <s v="M"/>
    <x v="0"/>
    <n v="9.9499999999999993"/>
    <x v="12"/>
    <x v="0"/>
    <x v="0"/>
    <x v="1"/>
  </r>
  <r>
    <x v="11"/>
    <x v="10"/>
    <x v="11"/>
    <s v="R-D-2.5"/>
    <n v="2"/>
    <x v="11"/>
    <s v="tvanyutind@wix.com"/>
    <x v="0"/>
    <s v="Rob"/>
    <s v="D"/>
    <x v="2"/>
    <n v="20.584999999999997"/>
    <x v="13"/>
    <x v="0"/>
    <x v="2"/>
    <x v="1"/>
  </r>
  <r>
    <x v="12"/>
    <x v="11"/>
    <x v="12"/>
    <s v="L-D-0.2"/>
    <n v="3"/>
    <x v="12"/>
    <s v="ptrobee@wunderground.com"/>
    <x v="0"/>
    <s v="Lib"/>
    <s v="D"/>
    <x v="3"/>
    <n v="3.8849999999999998"/>
    <x v="14"/>
    <x v="3"/>
    <x v="2"/>
    <x v="0"/>
  </r>
  <r>
    <x v="13"/>
    <x v="12"/>
    <x v="13"/>
    <s v="R-M-2.5"/>
    <n v="5"/>
    <x v="13"/>
    <s v="loscroftf@ebay.co.uk"/>
    <x v="0"/>
    <s v="Rob"/>
    <s v="M"/>
    <x v="2"/>
    <n v="22.884999999999998"/>
    <x v="15"/>
    <x v="0"/>
    <x v="0"/>
    <x v="1"/>
  </r>
  <r>
    <x v="14"/>
    <x v="13"/>
    <x v="14"/>
    <s v="A-M-0.2"/>
    <n v="6"/>
    <x v="14"/>
    <s v="malabasterg@hexun.com"/>
    <x v="0"/>
    <s v="Ara"/>
    <s v="M"/>
    <x v="3"/>
    <n v="3.375"/>
    <x v="16"/>
    <x v="2"/>
    <x v="0"/>
    <x v="1"/>
  </r>
  <r>
    <x v="15"/>
    <x v="14"/>
    <x v="15"/>
    <s v="A-L-1"/>
    <n v="6"/>
    <x v="15"/>
    <s v="rbroxuph@jimdo.com"/>
    <x v="0"/>
    <s v="Ara"/>
    <s v="L"/>
    <x v="0"/>
    <n v="12.95"/>
    <x v="17"/>
    <x v="2"/>
    <x v="1"/>
    <x v="1"/>
  </r>
  <r>
    <x v="16"/>
    <x v="15"/>
    <x v="16"/>
    <s v="R-D-2.5"/>
    <n v="4"/>
    <x v="16"/>
    <s v="predfordi@ow.ly"/>
    <x v="1"/>
    <s v="Rob"/>
    <s v="D"/>
    <x v="2"/>
    <n v="20.584999999999997"/>
    <x v="18"/>
    <x v="0"/>
    <x v="2"/>
    <x v="0"/>
  </r>
  <r>
    <x v="17"/>
    <x v="16"/>
    <x v="17"/>
    <s v="A-M-0.2"/>
    <n v="5"/>
    <x v="17"/>
    <s v="acorradinoj@harvard.edu"/>
    <x v="0"/>
    <s v="Ara"/>
    <s v="M"/>
    <x v="3"/>
    <n v="3.375"/>
    <x v="19"/>
    <x v="2"/>
    <x v="0"/>
    <x v="0"/>
  </r>
  <r>
    <x v="17"/>
    <x v="16"/>
    <x v="17"/>
    <s v="E-D-0.2"/>
    <n v="4"/>
    <x v="17"/>
    <s v="acorradinoj@harvard.edu"/>
    <x v="0"/>
    <s v="Exc"/>
    <s v="D"/>
    <x v="3"/>
    <n v="3.645"/>
    <x v="20"/>
    <x v="1"/>
    <x v="2"/>
    <x v="0"/>
  </r>
  <r>
    <x v="18"/>
    <x v="16"/>
    <x v="18"/>
    <s v="A-D-0.2"/>
    <n v="6"/>
    <x v="18"/>
    <s v="adavidowskyl@netvibes.com"/>
    <x v="0"/>
    <s v="Ara"/>
    <s v="D"/>
    <x v="3"/>
    <n v="2.9849999999999999"/>
    <x v="8"/>
    <x v="2"/>
    <x v="2"/>
    <x v="1"/>
  </r>
  <r>
    <x v="19"/>
    <x v="17"/>
    <x v="19"/>
    <s v="R-M-2.5"/>
    <n v="4"/>
    <x v="19"/>
    <s v="aantukm@kickstarter.com"/>
    <x v="0"/>
    <s v="Rob"/>
    <s v="M"/>
    <x v="2"/>
    <n v="22.884999999999998"/>
    <x v="21"/>
    <x v="0"/>
    <x v="0"/>
    <x v="0"/>
  </r>
  <r>
    <x v="20"/>
    <x v="18"/>
    <x v="20"/>
    <s v="A-D-0.2"/>
    <n v="4"/>
    <x v="20"/>
    <s v="ikleinertn@timesonline.co.uk"/>
    <x v="0"/>
    <s v="Ara"/>
    <s v="D"/>
    <x v="3"/>
    <n v="2.9849999999999999"/>
    <x v="22"/>
    <x v="2"/>
    <x v="2"/>
    <x v="0"/>
  </r>
  <r>
    <x v="21"/>
    <x v="19"/>
    <x v="21"/>
    <s v="A-M-1"/>
    <n v="1"/>
    <x v="21"/>
    <s v="cblofeldo@amazon.co.uk"/>
    <x v="0"/>
    <s v="Ara"/>
    <s v="M"/>
    <x v="0"/>
    <n v="11.25"/>
    <x v="23"/>
    <x v="2"/>
    <x v="0"/>
    <x v="1"/>
  </r>
  <r>
    <x v="22"/>
    <x v="20"/>
    <x v="22"/>
    <s v="E-M-0.2"/>
    <n v="3"/>
    <x v="22"/>
    <s v=""/>
    <x v="0"/>
    <s v="Exc"/>
    <s v="M"/>
    <x v="3"/>
    <n v="4.125"/>
    <x v="24"/>
    <x v="1"/>
    <x v="0"/>
    <x v="0"/>
  </r>
  <r>
    <x v="23"/>
    <x v="21"/>
    <x v="23"/>
    <s v="A-M-0.5"/>
    <n v="4"/>
    <x v="23"/>
    <s v="sshalesq@umich.edu"/>
    <x v="0"/>
    <s v="Ara"/>
    <s v="M"/>
    <x v="1"/>
    <n v="6.75"/>
    <x v="25"/>
    <x v="2"/>
    <x v="0"/>
    <x v="0"/>
  </r>
  <r>
    <x v="24"/>
    <x v="22"/>
    <x v="24"/>
    <s v="A-M-0.2"/>
    <n v="5"/>
    <x v="24"/>
    <s v="vdanneilr@mtv.com"/>
    <x v="1"/>
    <s v="Ara"/>
    <s v="M"/>
    <x v="3"/>
    <n v="3.375"/>
    <x v="19"/>
    <x v="2"/>
    <x v="0"/>
    <x v="1"/>
  </r>
  <r>
    <x v="25"/>
    <x v="23"/>
    <x v="25"/>
    <s v="A-D-0.5"/>
    <n v="3"/>
    <x v="25"/>
    <s v="tnewburys@usda.gov"/>
    <x v="1"/>
    <s v="Ara"/>
    <s v="D"/>
    <x v="1"/>
    <n v="5.97"/>
    <x v="8"/>
    <x v="2"/>
    <x v="2"/>
    <x v="1"/>
  </r>
  <r>
    <x v="26"/>
    <x v="21"/>
    <x v="26"/>
    <s v="A-D-1"/>
    <n v="4"/>
    <x v="26"/>
    <s v="mcalcuttt@baidu.com"/>
    <x v="1"/>
    <s v="Ara"/>
    <s v="D"/>
    <x v="0"/>
    <n v="9.9499999999999993"/>
    <x v="10"/>
    <x v="2"/>
    <x v="2"/>
    <x v="0"/>
  </r>
  <r>
    <x v="27"/>
    <x v="24"/>
    <x v="27"/>
    <s v="L-M-0.2"/>
    <n v="5"/>
    <x v="27"/>
    <s v=""/>
    <x v="0"/>
    <s v="Lib"/>
    <s v="M"/>
    <x v="3"/>
    <n v="4.3650000000000002"/>
    <x v="26"/>
    <x v="3"/>
    <x v="0"/>
    <x v="1"/>
  </r>
  <r>
    <x v="27"/>
    <x v="24"/>
    <x v="27"/>
    <s v="A-D-0.5"/>
    <n v="6"/>
    <x v="27"/>
    <s v=""/>
    <x v="0"/>
    <s v="Ara"/>
    <s v="D"/>
    <x v="1"/>
    <n v="5.97"/>
    <x v="27"/>
    <x v="2"/>
    <x v="2"/>
    <x v="1"/>
  </r>
  <r>
    <x v="27"/>
    <x v="24"/>
    <x v="27"/>
    <s v="L-M-0.5"/>
    <n v="6"/>
    <x v="28"/>
    <s v=""/>
    <x v="0"/>
    <s v="Lib"/>
    <s v="M"/>
    <x v="1"/>
    <n v="8.73"/>
    <x v="28"/>
    <x v="3"/>
    <x v="0"/>
    <x v="1"/>
  </r>
  <r>
    <x v="28"/>
    <x v="25"/>
    <x v="28"/>
    <s v="L-L-0.2"/>
    <n v="5"/>
    <x v="29"/>
    <s v="ggatheralx@123-reg.co.uk"/>
    <x v="0"/>
    <s v="Lib"/>
    <s v="L"/>
    <x v="3"/>
    <n v="4.7549999999999999"/>
    <x v="29"/>
    <x v="3"/>
    <x v="1"/>
    <x v="1"/>
  </r>
  <r>
    <x v="29"/>
    <x v="26"/>
    <x v="29"/>
    <s v="L-L-0.5"/>
    <n v="6"/>
    <x v="30"/>
    <s v="uwelberryy@ebay.co.uk"/>
    <x v="2"/>
    <s v="Lib"/>
    <s v="L"/>
    <x v="1"/>
    <n v="9.51"/>
    <x v="30"/>
    <x v="3"/>
    <x v="1"/>
    <x v="0"/>
  </r>
  <r>
    <x v="30"/>
    <x v="27"/>
    <x v="30"/>
    <s v="A-D-0.5"/>
    <n v="6"/>
    <x v="31"/>
    <s v="feilhartz@who.int"/>
    <x v="0"/>
    <s v="Ara"/>
    <s v="D"/>
    <x v="1"/>
    <n v="5.97"/>
    <x v="27"/>
    <x v="2"/>
    <x v="2"/>
    <x v="1"/>
  </r>
  <r>
    <x v="31"/>
    <x v="28"/>
    <x v="31"/>
    <s v="L-M-0.2"/>
    <n v="2"/>
    <x v="32"/>
    <s v="zponting10@altervista.org"/>
    <x v="0"/>
    <s v="Lib"/>
    <s v="M"/>
    <x v="3"/>
    <n v="4.3650000000000002"/>
    <x v="31"/>
    <x v="3"/>
    <x v="0"/>
    <x v="1"/>
  </r>
  <r>
    <x v="32"/>
    <x v="29"/>
    <x v="32"/>
    <s v="L-L-0.5"/>
    <n v="3"/>
    <x v="33"/>
    <s v="sstrase11@booking.com"/>
    <x v="0"/>
    <s v="Lib"/>
    <s v="L"/>
    <x v="1"/>
    <n v="9.51"/>
    <x v="32"/>
    <x v="3"/>
    <x v="1"/>
    <x v="1"/>
  </r>
  <r>
    <x v="33"/>
    <x v="30"/>
    <x v="33"/>
    <s v="R-M-2.5"/>
    <n v="5"/>
    <x v="34"/>
    <s v="dde12@unesco.org"/>
    <x v="0"/>
    <s v="Rob"/>
    <s v="M"/>
    <x v="2"/>
    <n v="22.884999999999998"/>
    <x v="15"/>
    <x v="0"/>
    <x v="0"/>
    <x v="1"/>
  </r>
  <r>
    <x v="34"/>
    <x v="31"/>
    <x v="34"/>
    <s v="R-M-1"/>
    <n v="6"/>
    <x v="35"/>
    <s v=""/>
    <x v="0"/>
    <s v="Rob"/>
    <s v="M"/>
    <x v="0"/>
    <n v="9.9499999999999993"/>
    <x v="33"/>
    <x v="0"/>
    <x v="0"/>
    <x v="0"/>
  </r>
  <r>
    <x v="35"/>
    <x v="32"/>
    <x v="35"/>
    <s v="L-M-1"/>
    <n v="3"/>
    <x v="36"/>
    <s v=""/>
    <x v="0"/>
    <s v="Lib"/>
    <s v="M"/>
    <x v="0"/>
    <n v="14.55"/>
    <x v="34"/>
    <x v="3"/>
    <x v="0"/>
    <x v="1"/>
  </r>
  <r>
    <x v="36"/>
    <x v="33"/>
    <x v="36"/>
    <s v="E-D-0.2"/>
    <n v="2"/>
    <x v="37"/>
    <s v="lyeoland15@pbs.org"/>
    <x v="0"/>
    <s v="Exc"/>
    <s v="D"/>
    <x v="3"/>
    <n v="3.645"/>
    <x v="35"/>
    <x v="1"/>
    <x v="2"/>
    <x v="0"/>
  </r>
  <r>
    <x v="37"/>
    <x v="34"/>
    <x v="37"/>
    <s v="R-D-0.2"/>
    <n v="3"/>
    <x v="38"/>
    <s v="atolworthy16@toplist.cz"/>
    <x v="0"/>
    <s v="Rob"/>
    <s v="D"/>
    <x v="3"/>
    <n v="2.6849999999999996"/>
    <x v="36"/>
    <x v="0"/>
    <x v="2"/>
    <x v="0"/>
  </r>
  <r>
    <x v="38"/>
    <x v="35"/>
    <x v="38"/>
    <s v="L-L-2.5"/>
    <n v="2"/>
    <x v="39"/>
    <s v=""/>
    <x v="0"/>
    <s v="Lib"/>
    <s v="L"/>
    <x v="2"/>
    <n v="36.454999999999998"/>
    <x v="37"/>
    <x v="3"/>
    <x v="1"/>
    <x v="1"/>
  </r>
  <r>
    <x v="39"/>
    <x v="36"/>
    <x v="39"/>
    <s v="E-M-0.5"/>
    <n v="2"/>
    <x v="40"/>
    <s v="obaudassi18@seesaa.net"/>
    <x v="0"/>
    <s v="Exc"/>
    <s v="M"/>
    <x v="1"/>
    <n v="8.25"/>
    <x v="38"/>
    <x v="1"/>
    <x v="0"/>
    <x v="0"/>
  </r>
  <r>
    <x v="40"/>
    <x v="37"/>
    <x v="40"/>
    <s v="L-D-2.5"/>
    <n v="6"/>
    <x v="41"/>
    <s v="pkingsbury19@comcast.net"/>
    <x v="0"/>
    <s v="Lib"/>
    <s v="D"/>
    <x v="2"/>
    <n v="29.784999999999997"/>
    <x v="39"/>
    <x v="3"/>
    <x v="2"/>
    <x v="1"/>
  </r>
  <r>
    <x v="41"/>
    <x v="38"/>
    <x v="41"/>
    <s v="E-M-2.5"/>
    <n v="2"/>
    <x v="42"/>
    <s v=""/>
    <x v="0"/>
    <s v="Exc"/>
    <s v="M"/>
    <x v="2"/>
    <n v="31.624999999999996"/>
    <x v="40"/>
    <x v="1"/>
    <x v="0"/>
    <x v="0"/>
  </r>
  <r>
    <x v="42"/>
    <x v="39"/>
    <x v="42"/>
    <s v="A-L-0.2"/>
    <n v="2"/>
    <x v="43"/>
    <s v="acurley1b@hao123.com"/>
    <x v="0"/>
    <s v="Ara"/>
    <s v="L"/>
    <x v="3"/>
    <n v="3.8849999999999998"/>
    <x v="41"/>
    <x v="2"/>
    <x v="1"/>
    <x v="0"/>
  </r>
  <r>
    <x v="43"/>
    <x v="40"/>
    <x v="43"/>
    <s v="A-D-2.5"/>
    <n v="4"/>
    <x v="44"/>
    <s v="rmcgilvary1c@tamu.edu"/>
    <x v="0"/>
    <s v="Ara"/>
    <s v="D"/>
    <x v="2"/>
    <n v="22.884999999999998"/>
    <x v="21"/>
    <x v="2"/>
    <x v="2"/>
    <x v="1"/>
  </r>
  <r>
    <x v="44"/>
    <x v="41"/>
    <x v="44"/>
    <s v="A-L-1"/>
    <n v="3"/>
    <x v="45"/>
    <s v="ipikett1d@xinhuanet.com"/>
    <x v="0"/>
    <s v="Ara"/>
    <s v="L"/>
    <x v="0"/>
    <n v="12.95"/>
    <x v="5"/>
    <x v="2"/>
    <x v="1"/>
    <x v="1"/>
  </r>
  <r>
    <x v="45"/>
    <x v="42"/>
    <x v="45"/>
    <s v="L-D-0.5"/>
    <n v="2"/>
    <x v="46"/>
    <s v="ibouldon1e@gizmodo.com"/>
    <x v="0"/>
    <s v="Lib"/>
    <s v="D"/>
    <x v="1"/>
    <n v="7.77"/>
    <x v="42"/>
    <x v="3"/>
    <x v="2"/>
    <x v="1"/>
  </r>
  <r>
    <x v="46"/>
    <x v="43"/>
    <x v="46"/>
    <s v="L-L-2.5"/>
    <n v="4"/>
    <x v="47"/>
    <s v="kflanders1f@over-blog.com"/>
    <x v="1"/>
    <s v="Lib"/>
    <s v="L"/>
    <x v="2"/>
    <n v="36.454999999999998"/>
    <x v="43"/>
    <x v="3"/>
    <x v="1"/>
    <x v="0"/>
  </r>
  <r>
    <x v="47"/>
    <x v="44"/>
    <x v="47"/>
    <s v="R-M-0.5"/>
    <n v="5"/>
    <x v="48"/>
    <s v="hmattioli1g@webmd.com"/>
    <x v="2"/>
    <s v="Rob"/>
    <s v="M"/>
    <x v="1"/>
    <n v="5.97"/>
    <x v="44"/>
    <x v="0"/>
    <x v="0"/>
    <x v="1"/>
  </r>
  <r>
    <x v="47"/>
    <x v="44"/>
    <x v="47"/>
    <s v="L-L-2.5"/>
    <n v="2"/>
    <x v="48"/>
    <s v="hmattioli1g@webmd.com"/>
    <x v="2"/>
    <s v="Lib"/>
    <s v="L"/>
    <x v="2"/>
    <n v="36.454999999999998"/>
    <x v="37"/>
    <x v="3"/>
    <x v="1"/>
    <x v="1"/>
  </r>
  <r>
    <x v="48"/>
    <x v="45"/>
    <x v="48"/>
    <s v="L-M-1"/>
    <n v="5"/>
    <x v="49"/>
    <s v="agillard1i@issuu.com"/>
    <x v="0"/>
    <s v="Lib"/>
    <s v="M"/>
    <x v="0"/>
    <n v="14.55"/>
    <x v="45"/>
    <x v="3"/>
    <x v="0"/>
    <x v="1"/>
  </r>
  <r>
    <x v="49"/>
    <x v="46"/>
    <x v="49"/>
    <s v="L-L-1"/>
    <n v="3"/>
    <x v="50"/>
    <s v=""/>
    <x v="0"/>
    <s v="Lib"/>
    <s v="L"/>
    <x v="0"/>
    <n v="15.85"/>
    <x v="46"/>
    <x v="3"/>
    <x v="1"/>
    <x v="1"/>
  </r>
  <r>
    <x v="50"/>
    <x v="47"/>
    <x v="50"/>
    <s v="E-D-0.2"/>
    <n v="3"/>
    <x v="51"/>
    <s v="tgrizard1k@odnoklassniki.ru"/>
    <x v="0"/>
    <s v="Exc"/>
    <s v="D"/>
    <x v="3"/>
    <n v="3.645"/>
    <x v="47"/>
    <x v="1"/>
    <x v="2"/>
    <x v="0"/>
  </r>
  <r>
    <x v="51"/>
    <x v="48"/>
    <x v="51"/>
    <s v="E-L-1"/>
    <n v="4"/>
    <x v="52"/>
    <s v="rrelton1l@stanford.edu"/>
    <x v="0"/>
    <s v="Exc"/>
    <s v="L"/>
    <x v="0"/>
    <n v="14.85"/>
    <x v="48"/>
    <x v="1"/>
    <x v="1"/>
    <x v="1"/>
  </r>
  <r>
    <x v="52"/>
    <x v="49"/>
    <x v="52"/>
    <s v="L-D-2.5"/>
    <n v="3"/>
    <x v="53"/>
    <s v=""/>
    <x v="0"/>
    <s v="Lib"/>
    <s v="D"/>
    <x v="2"/>
    <n v="29.784999999999997"/>
    <x v="49"/>
    <x v="3"/>
    <x v="2"/>
    <x v="0"/>
  </r>
  <r>
    <x v="53"/>
    <x v="50"/>
    <x v="53"/>
    <s v="L-M-0.5"/>
    <n v="3"/>
    <x v="54"/>
    <s v="sgilroy1n@eepurl.com"/>
    <x v="0"/>
    <s v="Lib"/>
    <s v="M"/>
    <x v="1"/>
    <n v="8.73"/>
    <x v="50"/>
    <x v="3"/>
    <x v="0"/>
    <x v="0"/>
  </r>
  <r>
    <x v="54"/>
    <x v="51"/>
    <x v="54"/>
    <s v="A-D-2.5"/>
    <n v="5"/>
    <x v="55"/>
    <s v="ccottingham1o@wikipedia.org"/>
    <x v="0"/>
    <s v="Ara"/>
    <s v="D"/>
    <x v="2"/>
    <n v="22.884999999999998"/>
    <x v="15"/>
    <x v="2"/>
    <x v="2"/>
    <x v="1"/>
  </r>
  <r>
    <x v="55"/>
    <x v="52"/>
    <x v="55"/>
    <s v="R-D-0.5"/>
    <n v="5"/>
    <x v="56"/>
    <s v=""/>
    <x v="2"/>
    <s v="Rob"/>
    <s v="D"/>
    <x v="1"/>
    <n v="5.3699999999999992"/>
    <x v="51"/>
    <x v="0"/>
    <x v="2"/>
    <x v="0"/>
  </r>
  <r>
    <x v="56"/>
    <x v="53"/>
    <x v="56"/>
    <s v="L-L-0.2"/>
    <n v="5"/>
    <x v="57"/>
    <s v=""/>
    <x v="0"/>
    <s v="Lib"/>
    <s v="L"/>
    <x v="3"/>
    <n v="4.7549999999999999"/>
    <x v="29"/>
    <x v="3"/>
    <x v="1"/>
    <x v="0"/>
  </r>
  <r>
    <x v="57"/>
    <x v="54"/>
    <x v="57"/>
    <s v="A-M-0.5"/>
    <n v="1"/>
    <x v="58"/>
    <s v="adykes1r@eventbrite.com"/>
    <x v="0"/>
    <s v="Ara"/>
    <s v="M"/>
    <x v="1"/>
    <n v="6.75"/>
    <x v="52"/>
    <x v="2"/>
    <x v="0"/>
    <x v="1"/>
  </r>
  <r>
    <x v="58"/>
    <x v="55"/>
    <x v="58"/>
    <s v="R-M-0.5"/>
    <n v="6"/>
    <x v="59"/>
    <s v=""/>
    <x v="0"/>
    <s v="Rob"/>
    <s v="M"/>
    <x v="1"/>
    <n v="5.97"/>
    <x v="27"/>
    <x v="0"/>
    <x v="0"/>
    <x v="0"/>
  </r>
  <r>
    <x v="59"/>
    <x v="56"/>
    <x v="59"/>
    <s v="R-D-2.5"/>
    <n v="4"/>
    <x v="60"/>
    <s v="acockrem1t@engadget.com"/>
    <x v="0"/>
    <s v="Rob"/>
    <s v="D"/>
    <x v="2"/>
    <n v="20.584999999999997"/>
    <x v="18"/>
    <x v="0"/>
    <x v="2"/>
    <x v="0"/>
  </r>
  <r>
    <x v="60"/>
    <x v="57"/>
    <x v="60"/>
    <s v="R-L-0.5"/>
    <n v="1"/>
    <x v="61"/>
    <s v="bumpleby1u@soundcloud.com"/>
    <x v="0"/>
    <s v="Rob"/>
    <s v="L"/>
    <x v="1"/>
    <n v="7.169999999999999"/>
    <x v="53"/>
    <x v="0"/>
    <x v="1"/>
    <x v="0"/>
  </r>
  <r>
    <x v="61"/>
    <x v="58"/>
    <x v="61"/>
    <s v="L-L-0.2"/>
    <n v="2"/>
    <x v="62"/>
    <s v="nsaleway1v@dedecms.com"/>
    <x v="0"/>
    <s v="Lib"/>
    <s v="L"/>
    <x v="3"/>
    <n v="4.7549999999999999"/>
    <x v="54"/>
    <x v="3"/>
    <x v="1"/>
    <x v="1"/>
  </r>
  <r>
    <x v="62"/>
    <x v="59"/>
    <x v="62"/>
    <s v="R-M-0.2"/>
    <n v="1"/>
    <x v="63"/>
    <s v="hgoulter1w@abc.net.au"/>
    <x v="0"/>
    <s v="Rob"/>
    <s v="M"/>
    <x v="3"/>
    <n v="2.9849999999999999"/>
    <x v="55"/>
    <x v="0"/>
    <x v="0"/>
    <x v="1"/>
  </r>
  <r>
    <x v="63"/>
    <x v="60"/>
    <x v="63"/>
    <s v="R-M-1"/>
    <n v="6"/>
    <x v="64"/>
    <s v="grizzello1x@symantec.com"/>
    <x v="2"/>
    <s v="Rob"/>
    <s v="M"/>
    <x v="0"/>
    <n v="9.9499999999999993"/>
    <x v="33"/>
    <x v="0"/>
    <x v="0"/>
    <x v="0"/>
  </r>
  <r>
    <x v="64"/>
    <x v="61"/>
    <x v="64"/>
    <s v="E-L-2.5"/>
    <n v="4"/>
    <x v="65"/>
    <s v="slist1y@mapquest.com"/>
    <x v="0"/>
    <s v="Exc"/>
    <s v="L"/>
    <x v="2"/>
    <n v="34.154999999999994"/>
    <x v="56"/>
    <x v="1"/>
    <x v="1"/>
    <x v="1"/>
  </r>
  <r>
    <x v="65"/>
    <x v="62"/>
    <x v="65"/>
    <s v="L-L-0.2"/>
    <n v="2"/>
    <x v="66"/>
    <s v="sedmondson1z@theguardian.com"/>
    <x v="1"/>
    <s v="Lib"/>
    <s v="L"/>
    <x v="3"/>
    <n v="4.7549999999999999"/>
    <x v="54"/>
    <x v="3"/>
    <x v="1"/>
    <x v="1"/>
  </r>
  <r>
    <x v="66"/>
    <x v="63"/>
    <x v="66"/>
    <s v="A-M-2.5"/>
    <n v="3"/>
    <x v="67"/>
    <s v=""/>
    <x v="0"/>
    <s v="Ara"/>
    <s v="M"/>
    <x v="2"/>
    <n v="25.874999999999996"/>
    <x v="57"/>
    <x v="2"/>
    <x v="0"/>
    <x v="1"/>
  </r>
  <r>
    <x v="67"/>
    <x v="64"/>
    <x v="67"/>
    <s v="L-M-0.2"/>
    <n v="5"/>
    <x v="68"/>
    <s v=""/>
    <x v="0"/>
    <s v="Lib"/>
    <s v="M"/>
    <x v="3"/>
    <n v="4.3650000000000002"/>
    <x v="26"/>
    <x v="3"/>
    <x v="0"/>
    <x v="0"/>
  </r>
  <r>
    <x v="68"/>
    <x v="65"/>
    <x v="68"/>
    <s v="E-L-0.5"/>
    <n v="2"/>
    <x v="69"/>
    <s v="jrangall22@newsvine.com"/>
    <x v="0"/>
    <s v="Exc"/>
    <s v="L"/>
    <x v="1"/>
    <n v="8.91"/>
    <x v="58"/>
    <x v="1"/>
    <x v="1"/>
    <x v="0"/>
  </r>
  <r>
    <x v="69"/>
    <x v="66"/>
    <x v="69"/>
    <s v="R-D-1"/>
    <n v="6"/>
    <x v="70"/>
    <s v="kboorn23@ezinearticles.com"/>
    <x v="1"/>
    <s v="Rob"/>
    <s v="D"/>
    <x v="0"/>
    <n v="8.9499999999999993"/>
    <x v="59"/>
    <x v="0"/>
    <x v="2"/>
    <x v="0"/>
  </r>
  <r>
    <x v="70"/>
    <x v="67"/>
    <x v="70"/>
    <s v="R-L-0.2"/>
    <n v="1"/>
    <x v="71"/>
    <s v=""/>
    <x v="1"/>
    <s v="Rob"/>
    <s v="L"/>
    <x v="3"/>
    <n v="3.5849999999999995"/>
    <x v="60"/>
    <x v="0"/>
    <x v="1"/>
    <x v="0"/>
  </r>
  <r>
    <x v="71"/>
    <x v="68"/>
    <x v="71"/>
    <s v="E-D-0.2"/>
    <n v="2"/>
    <x v="72"/>
    <s v="celgey25@webs.com"/>
    <x v="0"/>
    <s v="Exc"/>
    <s v="D"/>
    <x v="3"/>
    <n v="3.645"/>
    <x v="35"/>
    <x v="1"/>
    <x v="2"/>
    <x v="1"/>
  </r>
  <r>
    <x v="72"/>
    <x v="69"/>
    <x v="72"/>
    <s v="A-M-0.5"/>
    <n v="6"/>
    <x v="73"/>
    <s v="lmizzi26@rakuten.co.jp"/>
    <x v="0"/>
    <s v="Ara"/>
    <s v="M"/>
    <x v="1"/>
    <n v="6.75"/>
    <x v="61"/>
    <x v="2"/>
    <x v="0"/>
    <x v="0"/>
  </r>
  <r>
    <x v="73"/>
    <x v="70"/>
    <x v="73"/>
    <s v="R-L-1"/>
    <n v="4"/>
    <x v="74"/>
    <s v="cgiacomazzo27@jigsy.com"/>
    <x v="0"/>
    <s v="Rob"/>
    <s v="L"/>
    <x v="0"/>
    <n v="11.95"/>
    <x v="62"/>
    <x v="0"/>
    <x v="1"/>
    <x v="1"/>
  </r>
  <r>
    <x v="74"/>
    <x v="71"/>
    <x v="74"/>
    <s v="A-L-0.5"/>
    <n v="5"/>
    <x v="75"/>
    <s v="aarnow28@arizona.edu"/>
    <x v="0"/>
    <s v="Ara"/>
    <s v="L"/>
    <x v="1"/>
    <n v="7.77"/>
    <x v="5"/>
    <x v="2"/>
    <x v="1"/>
    <x v="0"/>
  </r>
  <r>
    <x v="75"/>
    <x v="72"/>
    <x v="75"/>
    <s v="L-L-2.5"/>
    <n v="3"/>
    <x v="76"/>
    <s v="syann29@senate.gov"/>
    <x v="0"/>
    <s v="Lib"/>
    <s v="L"/>
    <x v="2"/>
    <n v="36.454999999999998"/>
    <x v="63"/>
    <x v="3"/>
    <x v="1"/>
    <x v="0"/>
  </r>
  <r>
    <x v="76"/>
    <x v="73"/>
    <x v="76"/>
    <s v="L-M-2.5"/>
    <n v="3"/>
    <x v="77"/>
    <s v="bnaulls2a@tiny.cc"/>
    <x v="1"/>
    <s v="Lib"/>
    <s v="M"/>
    <x v="2"/>
    <n v="33.464999999999996"/>
    <x v="64"/>
    <x v="3"/>
    <x v="0"/>
    <x v="0"/>
  </r>
  <r>
    <x v="77"/>
    <x v="74"/>
    <x v="77"/>
    <s v="R-D-2.5"/>
    <n v="4"/>
    <x v="78"/>
    <s v=""/>
    <x v="0"/>
    <s v="Rob"/>
    <s v="D"/>
    <x v="2"/>
    <n v="20.584999999999997"/>
    <x v="18"/>
    <x v="0"/>
    <x v="2"/>
    <x v="0"/>
  </r>
  <r>
    <x v="78"/>
    <x v="75"/>
    <x v="78"/>
    <s v="L-L-0.5"/>
    <n v="1"/>
    <x v="79"/>
    <s v="zsherewood2c@apache.org"/>
    <x v="0"/>
    <s v="Lib"/>
    <s v="L"/>
    <x v="1"/>
    <n v="9.51"/>
    <x v="54"/>
    <x v="3"/>
    <x v="1"/>
    <x v="1"/>
  </r>
  <r>
    <x v="79"/>
    <x v="76"/>
    <x v="79"/>
    <s v="A-L-2.5"/>
    <n v="3"/>
    <x v="80"/>
    <s v="jdufaire2d@fc2.com"/>
    <x v="0"/>
    <s v="Ara"/>
    <s v="L"/>
    <x v="2"/>
    <n v="29.784999999999997"/>
    <x v="49"/>
    <x v="2"/>
    <x v="1"/>
    <x v="1"/>
  </r>
  <r>
    <x v="79"/>
    <x v="76"/>
    <x v="79"/>
    <s v="A-D-0.2"/>
    <n v="4"/>
    <x v="80"/>
    <s v="jdufaire2d@fc2.com"/>
    <x v="0"/>
    <s v="Ara"/>
    <s v="D"/>
    <x v="3"/>
    <n v="2.9849999999999999"/>
    <x v="22"/>
    <x v="2"/>
    <x v="2"/>
    <x v="1"/>
  </r>
  <r>
    <x v="80"/>
    <x v="77"/>
    <x v="80"/>
    <s v="A-M-1"/>
    <n v="3"/>
    <x v="81"/>
    <s v="bkeaveney2f@netlog.com"/>
    <x v="0"/>
    <s v="Ara"/>
    <s v="M"/>
    <x v="0"/>
    <n v="11.25"/>
    <x v="65"/>
    <x v="2"/>
    <x v="0"/>
    <x v="1"/>
  </r>
  <r>
    <x v="81"/>
    <x v="78"/>
    <x v="81"/>
    <s v="R-L-1"/>
    <n v="3"/>
    <x v="82"/>
    <s v="egrise2g@cargocollective.com"/>
    <x v="0"/>
    <s v="Rob"/>
    <s v="L"/>
    <x v="0"/>
    <n v="11.95"/>
    <x v="66"/>
    <x v="0"/>
    <x v="1"/>
    <x v="1"/>
  </r>
  <r>
    <x v="82"/>
    <x v="79"/>
    <x v="82"/>
    <s v="A-L-1"/>
    <n v="6"/>
    <x v="83"/>
    <s v="tgottelier2h@vistaprint.com"/>
    <x v="0"/>
    <s v="Ara"/>
    <s v="L"/>
    <x v="0"/>
    <n v="12.95"/>
    <x v="17"/>
    <x v="2"/>
    <x v="1"/>
    <x v="1"/>
  </r>
  <r>
    <x v="83"/>
    <x v="80"/>
    <x v="83"/>
    <s v="A-L-1"/>
    <n v="4"/>
    <x v="84"/>
    <s v=""/>
    <x v="1"/>
    <s v="Ara"/>
    <s v="L"/>
    <x v="0"/>
    <n v="12.95"/>
    <x v="67"/>
    <x v="2"/>
    <x v="1"/>
    <x v="0"/>
  </r>
  <r>
    <x v="84"/>
    <x v="81"/>
    <x v="84"/>
    <s v="A-M-2.5"/>
    <n v="4"/>
    <x v="85"/>
    <s v="agreenhead2j@dailymail.co.uk"/>
    <x v="0"/>
    <s v="Ara"/>
    <s v="M"/>
    <x v="2"/>
    <n v="25.874999999999996"/>
    <x v="68"/>
    <x v="2"/>
    <x v="0"/>
    <x v="1"/>
  </r>
  <r>
    <x v="85"/>
    <x v="82"/>
    <x v="85"/>
    <s v="E-L-1"/>
    <n v="3"/>
    <x v="86"/>
    <s v=""/>
    <x v="0"/>
    <s v="Exc"/>
    <s v="L"/>
    <x v="0"/>
    <n v="14.85"/>
    <x v="69"/>
    <x v="1"/>
    <x v="1"/>
    <x v="0"/>
  </r>
  <r>
    <x v="86"/>
    <x v="83"/>
    <x v="86"/>
    <s v="E-L-0.5"/>
    <n v="4"/>
    <x v="87"/>
    <s v="elangcaster2l@spotify.com"/>
    <x v="2"/>
    <s v="Exc"/>
    <s v="L"/>
    <x v="1"/>
    <n v="8.91"/>
    <x v="70"/>
    <x v="1"/>
    <x v="1"/>
    <x v="0"/>
  </r>
  <r>
    <x v="87"/>
    <x v="84"/>
    <x v="87"/>
    <s v="A-D-0.2"/>
    <n v="6"/>
    <x v="88"/>
    <s v=""/>
    <x v="1"/>
    <s v="Ara"/>
    <s v="D"/>
    <x v="3"/>
    <n v="2.9849999999999999"/>
    <x v="8"/>
    <x v="2"/>
    <x v="2"/>
    <x v="0"/>
  </r>
  <r>
    <x v="88"/>
    <x v="85"/>
    <x v="88"/>
    <s v="A-M-2.5"/>
    <n v="6"/>
    <x v="89"/>
    <s v="nmagauran2n@51.la"/>
    <x v="0"/>
    <s v="Ara"/>
    <s v="M"/>
    <x v="2"/>
    <n v="25.874999999999996"/>
    <x v="71"/>
    <x v="2"/>
    <x v="0"/>
    <x v="1"/>
  </r>
  <r>
    <x v="89"/>
    <x v="86"/>
    <x v="89"/>
    <s v="A-D-0.2"/>
    <n v="2"/>
    <x v="90"/>
    <s v="vkirdsch2o@google.fr"/>
    <x v="0"/>
    <s v="Ara"/>
    <s v="D"/>
    <x v="3"/>
    <n v="2.9849999999999999"/>
    <x v="9"/>
    <x v="2"/>
    <x v="2"/>
    <x v="1"/>
  </r>
  <r>
    <x v="90"/>
    <x v="87"/>
    <x v="90"/>
    <s v="A-M-0.5"/>
    <n v="2"/>
    <x v="91"/>
    <s v="iwhapple2p@com.com"/>
    <x v="0"/>
    <s v="Ara"/>
    <s v="M"/>
    <x v="1"/>
    <n v="6.75"/>
    <x v="72"/>
    <x v="2"/>
    <x v="0"/>
    <x v="1"/>
  </r>
  <r>
    <x v="91"/>
    <x v="25"/>
    <x v="91"/>
    <s v="A-D-0.2"/>
    <n v="1"/>
    <x v="92"/>
    <s v=""/>
    <x v="1"/>
    <s v="Ara"/>
    <s v="D"/>
    <x v="3"/>
    <n v="2.9849999999999999"/>
    <x v="55"/>
    <x v="2"/>
    <x v="2"/>
    <x v="1"/>
  </r>
  <r>
    <x v="92"/>
    <x v="88"/>
    <x v="92"/>
    <s v="L-M-0.2"/>
    <n v="3"/>
    <x v="93"/>
    <s v=""/>
    <x v="0"/>
    <s v="Lib"/>
    <s v="M"/>
    <x v="3"/>
    <n v="4.3650000000000002"/>
    <x v="73"/>
    <x v="3"/>
    <x v="0"/>
    <x v="0"/>
  </r>
  <r>
    <x v="93"/>
    <x v="89"/>
    <x v="93"/>
    <s v="A-L-0.2"/>
    <n v="2"/>
    <x v="94"/>
    <s v=""/>
    <x v="0"/>
    <s v="Ara"/>
    <s v="L"/>
    <x v="3"/>
    <n v="3.8849999999999998"/>
    <x v="41"/>
    <x v="2"/>
    <x v="1"/>
    <x v="0"/>
  </r>
  <r>
    <x v="94"/>
    <x v="90"/>
    <x v="94"/>
    <s v="L-D-2.5"/>
    <n v="5"/>
    <x v="95"/>
    <s v="nyoules2t@reference.com"/>
    <x v="1"/>
    <s v="Lib"/>
    <s v="D"/>
    <x v="2"/>
    <n v="29.784999999999997"/>
    <x v="74"/>
    <x v="3"/>
    <x v="2"/>
    <x v="0"/>
  </r>
  <r>
    <x v="95"/>
    <x v="91"/>
    <x v="95"/>
    <s v="L-D-1"/>
    <n v="3"/>
    <x v="96"/>
    <s v="daizikovitz2u@answers.com"/>
    <x v="1"/>
    <s v="Lib"/>
    <s v="D"/>
    <x v="0"/>
    <n v="12.95"/>
    <x v="5"/>
    <x v="3"/>
    <x v="2"/>
    <x v="0"/>
  </r>
  <r>
    <x v="96"/>
    <x v="92"/>
    <x v="96"/>
    <s v="R-M-0.2"/>
    <n v="4"/>
    <x v="97"/>
    <s v="brevel2v@fastcompany.com"/>
    <x v="0"/>
    <s v="Rob"/>
    <s v="M"/>
    <x v="3"/>
    <n v="2.9849999999999999"/>
    <x v="22"/>
    <x v="0"/>
    <x v="0"/>
    <x v="1"/>
  </r>
  <r>
    <x v="97"/>
    <x v="93"/>
    <x v="97"/>
    <s v="L-M-1"/>
    <n v="6"/>
    <x v="98"/>
    <s v="epriddis2w@nationalgeographic.com"/>
    <x v="0"/>
    <s v="Lib"/>
    <s v="M"/>
    <x v="0"/>
    <n v="14.55"/>
    <x v="75"/>
    <x v="3"/>
    <x v="0"/>
    <x v="1"/>
  </r>
  <r>
    <x v="98"/>
    <x v="94"/>
    <x v="98"/>
    <s v="A-M-0.5"/>
    <n v="6"/>
    <x v="99"/>
    <s v="qveel2x@jugem.jp"/>
    <x v="0"/>
    <s v="Ara"/>
    <s v="M"/>
    <x v="1"/>
    <n v="6.75"/>
    <x v="61"/>
    <x v="2"/>
    <x v="0"/>
    <x v="0"/>
  </r>
  <r>
    <x v="99"/>
    <x v="95"/>
    <x v="99"/>
    <s v="E-D-1"/>
    <n v="2"/>
    <x v="100"/>
    <s v="lconyers2y@twitter.com"/>
    <x v="0"/>
    <s v="Exc"/>
    <s v="D"/>
    <x v="0"/>
    <n v="12.15"/>
    <x v="76"/>
    <x v="1"/>
    <x v="2"/>
    <x v="1"/>
  </r>
  <r>
    <x v="100"/>
    <x v="96"/>
    <x v="100"/>
    <s v="R-M-0.5"/>
    <n v="3"/>
    <x v="101"/>
    <s v="pwye2z@dagondesign.com"/>
    <x v="0"/>
    <s v="Rob"/>
    <s v="M"/>
    <x v="1"/>
    <n v="5.97"/>
    <x v="8"/>
    <x v="0"/>
    <x v="0"/>
    <x v="0"/>
  </r>
  <r>
    <x v="101"/>
    <x v="97"/>
    <x v="101"/>
    <s v="A-M-0.5"/>
    <n v="4"/>
    <x v="102"/>
    <s v=""/>
    <x v="0"/>
    <s v="Ara"/>
    <s v="M"/>
    <x v="1"/>
    <n v="6.75"/>
    <x v="25"/>
    <x v="2"/>
    <x v="0"/>
    <x v="1"/>
  </r>
  <r>
    <x v="102"/>
    <x v="98"/>
    <x v="102"/>
    <s v="L-D-0.5"/>
    <n v="1"/>
    <x v="103"/>
    <s v="tsheryn31@mtv.com"/>
    <x v="0"/>
    <s v="Lib"/>
    <s v="D"/>
    <x v="1"/>
    <n v="7.77"/>
    <x v="41"/>
    <x v="3"/>
    <x v="2"/>
    <x v="0"/>
  </r>
  <r>
    <x v="103"/>
    <x v="99"/>
    <x v="103"/>
    <s v="E-L-0.2"/>
    <n v="3"/>
    <x v="104"/>
    <s v="mredgrave32@cargocollective.com"/>
    <x v="0"/>
    <s v="Exc"/>
    <s v="L"/>
    <x v="3"/>
    <n v="4.4550000000000001"/>
    <x v="77"/>
    <x v="1"/>
    <x v="1"/>
    <x v="0"/>
  </r>
  <r>
    <x v="104"/>
    <x v="100"/>
    <x v="104"/>
    <s v="R-D-0.5"/>
    <n v="5"/>
    <x v="105"/>
    <s v="bfominov33@yale.edu"/>
    <x v="0"/>
    <s v="Rob"/>
    <s v="D"/>
    <x v="1"/>
    <n v="5.3699999999999992"/>
    <x v="51"/>
    <x v="0"/>
    <x v="2"/>
    <x v="1"/>
  </r>
  <r>
    <x v="105"/>
    <x v="101"/>
    <x v="105"/>
    <s v="A-M-1"/>
    <n v="1"/>
    <x v="106"/>
    <s v="scritchlow34@un.org"/>
    <x v="0"/>
    <s v="Ara"/>
    <s v="M"/>
    <x v="0"/>
    <n v="11.25"/>
    <x v="23"/>
    <x v="2"/>
    <x v="0"/>
    <x v="1"/>
  </r>
  <r>
    <x v="106"/>
    <x v="102"/>
    <x v="106"/>
    <s v="L-M-1"/>
    <n v="1"/>
    <x v="107"/>
    <s v="msteptow35@earthlink.net"/>
    <x v="1"/>
    <s v="Lib"/>
    <s v="M"/>
    <x v="0"/>
    <n v="14.55"/>
    <x v="78"/>
    <x v="3"/>
    <x v="0"/>
    <x v="1"/>
  </r>
  <r>
    <x v="107"/>
    <x v="103"/>
    <x v="107"/>
    <s v="R-L-0.2"/>
    <n v="4"/>
    <x v="108"/>
    <s v=""/>
    <x v="0"/>
    <s v="Rob"/>
    <s v="L"/>
    <x v="3"/>
    <n v="3.5849999999999995"/>
    <x v="79"/>
    <x v="0"/>
    <x v="1"/>
    <x v="1"/>
  </r>
  <r>
    <x v="108"/>
    <x v="104"/>
    <x v="108"/>
    <s v="L-L-1"/>
    <n v="1"/>
    <x v="109"/>
    <s v="imulliner37@pinterest.com"/>
    <x v="2"/>
    <s v="Lib"/>
    <s v="L"/>
    <x v="0"/>
    <n v="15.85"/>
    <x v="80"/>
    <x v="3"/>
    <x v="1"/>
    <x v="1"/>
  </r>
  <r>
    <x v="109"/>
    <x v="105"/>
    <x v="109"/>
    <s v="L-L-0.2"/>
    <n v="4"/>
    <x v="110"/>
    <s v="gstandley38@dion.ne.jp"/>
    <x v="1"/>
    <s v="Lib"/>
    <s v="L"/>
    <x v="3"/>
    <n v="4.7549999999999999"/>
    <x v="81"/>
    <x v="3"/>
    <x v="1"/>
    <x v="0"/>
  </r>
  <r>
    <x v="110"/>
    <x v="11"/>
    <x v="110"/>
    <s v="L-L-0.5"/>
    <n v="4"/>
    <x v="111"/>
    <s v="bdrage39@youku.com"/>
    <x v="0"/>
    <s v="Lib"/>
    <s v="L"/>
    <x v="1"/>
    <n v="9.51"/>
    <x v="82"/>
    <x v="3"/>
    <x v="1"/>
    <x v="1"/>
  </r>
  <r>
    <x v="111"/>
    <x v="106"/>
    <x v="111"/>
    <s v="E-D-0.5"/>
    <n v="3"/>
    <x v="112"/>
    <s v="myallop3a@fema.gov"/>
    <x v="0"/>
    <s v="Exc"/>
    <s v="D"/>
    <x v="1"/>
    <n v="7.29"/>
    <x v="6"/>
    <x v="1"/>
    <x v="2"/>
    <x v="0"/>
  </r>
  <r>
    <x v="112"/>
    <x v="107"/>
    <x v="112"/>
    <s v="E-M-0.2"/>
    <n v="1"/>
    <x v="113"/>
    <s v="cswitsur3b@chronoengine.com"/>
    <x v="0"/>
    <s v="Exc"/>
    <s v="M"/>
    <x v="3"/>
    <n v="4.125"/>
    <x v="83"/>
    <x v="1"/>
    <x v="0"/>
    <x v="1"/>
  </r>
  <r>
    <x v="112"/>
    <x v="107"/>
    <x v="112"/>
    <s v="A-L-0.2"/>
    <n v="1"/>
    <x v="113"/>
    <s v="cswitsur3b@chronoengine.com"/>
    <x v="0"/>
    <s v="Ara"/>
    <s v="L"/>
    <x v="3"/>
    <n v="3.8849999999999998"/>
    <x v="84"/>
    <x v="2"/>
    <x v="1"/>
    <x v="1"/>
  </r>
  <r>
    <x v="112"/>
    <x v="107"/>
    <x v="112"/>
    <s v="E-M-1"/>
    <n v="5"/>
    <x v="28"/>
    <s v="cswitsur3b@chronoengine.com"/>
    <x v="0"/>
    <s v="Exc"/>
    <s v="M"/>
    <x v="0"/>
    <n v="13.75"/>
    <x v="85"/>
    <x v="1"/>
    <x v="0"/>
    <x v="1"/>
  </r>
  <r>
    <x v="113"/>
    <x v="108"/>
    <x v="113"/>
    <s v="A-D-0.5"/>
    <n v="4"/>
    <x v="114"/>
    <s v="mludwell3e@blogger.com"/>
    <x v="0"/>
    <s v="Ara"/>
    <s v="D"/>
    <x v="1"/>
    <n v="5.97"/>
    <x v="86"/>
    <x v="2"/>
    <x v="2"/>
    <x v="0"/>
  </r>
  <r>
    <x v="114"/>
    <x v="109"/>
    <x v="114"/>
    <s v="L-L-2.5"/>
    <n v="4"/>
    <x v="115"/>
    <s v="dbeauchamp3f@usda.gov"/>
    <x v="0"/>
    <s v="Lib"/>
    <s v="L"/>
    <x v="2"/>
    <n v="36.454999999999998"/>
    <x v="43"/>
    <x v="3"/>
    <x v="1"/>
    <x v="1"/>
  </r>
  <r>
    <x v="115"/>
    <x v="110"/>
    <x v="115"/>
    <s v="L-M-0.2"/>
    <n v="5"/>
    <x v="116"/>
    <s v="srodliff3g@ted.com"/>
    <x v="0"/>
    <s v="Lib"/>
    <s v="M"/>
    <x v="3"/>
    <n v="4.3650000000000002"/>
    <x v="26"/>
    <x v="3"/>
    <x v="0"/>
    <x v="0"/>
  </r>
  <r>
    <x v="116"/>
    <x v="111"/>
    <x v="116"/>
    <s v="L-M-0.5"/>
    <n v="3"/>
    <x v="117"/>
    <s v="swoodham3h@businesswire.com"/>
    <x v="1"/>
    <s v="Lib"/>
    <s v="M"/>
    <x v="1"/>
    <n v="8.73"/>
    <x v="50"/>
    <x v="3"/>
    <x v="0"/>
    <x v="0"/>
  </r>
  <r>
    <x v="117"/>
    <x v="112"/>
    <x v="117"/>
    <s v="A-M-1"/>
    <n v="1"/>
    <x v="118"/>
    <s v="hsynnot3i@about.com"/>
    <x v="0"/>
    <s v="Ara"/>
    <s v="M"/>
    <x v="0"/>
    <n v="11.25"/>
    <x v="23"/>
    <x v="2"/>
    <x v="0"/>
    <x v="1"/>
  </r>
  <r>
    <x v="118"/>
    <x v="113"/>
    <x v="118"/>
    <s v="L-D-1"/>
    <n v="6"/>
    <x v="119"/>
    <s v="rlepere3j@shop-pro.jp"/>
    <x v="1"/>
    <s v="Lib"/>
    <s v="D"/>
    <x v="0"/>
    <n v="12.95"/>
    <x v="17"/>
    <x v="3"/>
    <x v="2"/>
    <x v="1"/>
  </r>
  <r>
    <x v="119"/>
    <x v="114"/>
    <x v="119"/>
    <s v="A-M-0.5"/>
    <n v="1"/>
    <x v="120"/>
    <s v="twoofinden3k@businesswire.com"/>
    <x v="0"/>
    <s v="Ara"/>
    <s v="M"/>
    <x v="1"/>
    <n v="6.75"/>
    <x v="52"/>
    <x v="2"/>
    <x v="0"/>
    <x v="1"/>
  </r>
  <r>
    <x v="120"/>
    <x v="115"/>
    <x v="120"/>
    <s v="E-D-1"/>
    <n v="1"/>
    <x v="121"/>
    <s v="edacca3l@google.pl"/>
    <x v="0"/>
    <s v="Exc"/>
    <s v="D"/>
    <x v="0"/>
    <n v="12.15"/>
    <x v="87"/>
    <x v="1"/>
    <x v="2"/>
    <x v="0"/>
  </r>
  <r>
    <x v="121"/>
    <x v="49"/>
    <x v="121"/>
    <s v="A-L-2.5"/>
    <n v="5"/>
    <x v="122"/>
    <s v=""/>
    <x v="1"/>
    <s v="Ara"/>
    <s v="L"/>
    <x v="2"/>
    <n v="29.784999999999997"/>
    <x v="74"/>
    <x v="2"/>
    <x v="1"/>
    <x v="0"/>
  </r>
  <r>
    <x v="122"/>
    <x v="116"/>
    <x v="122"/>
    <s v="E-D-0.5"/>
    <n v="2"/>
    <x v="123"/>
    <s v="bhindsberg3n@blogs.com"/>
    <x v="0"/>
    <s v="Exc"/>
    <s v="D"/>
    <x v="1"/>
    <n v="7.29"/>
    <x v="20"/>
    <x v="1"/>
    <x v="2"/>
    <x v="0"/>
  </r>
  <r>
    <x v="123"/>
    <x v="117"/>
    <x v="123"/>
    <s v="A-L-2.5"/>
    <n v="5"/>
    <x v="124"/>
    <s v="orobins3o@salon.com"/>
    <x v="0"/>
    <s v="Ara"/>
    <s v="L"/>
    <x v="2"/>
    <n v="29.784999999999997"/>
    <x v="74"/>
    <x v="2"/>
    <x v="1"/>
    <x v="0"/>
  </r>
  <r>
    <x v="124"/>
    <x v="118"/>
    <x v="124"/>
    <s v="L-D-1"/>
    <n v="1"/>
    <x v="125"/>
    <s v="osyseland3p@independent.co.uk"/>
    <x v="0"/>
    <s v="Lib"/>
    <s v="D"/>
    <x v="0"/>
    <n v="12.95"/>
    <x v="2"/>
    <x v="3"/>
    <x v="2"/>
    <x v="1"/>
  </r>
  <r>
    <x v="125"/>
    <x v="119"/>
    <x v="125"/>
    <s v="E-M-2.5"/>
    <n v="3"/>
    <x v="126"/>
    <s v=""/>
    <x v="0"/>
    <s v="Exc"/>
    <s v="M"/>
    <x v="2"/>
    <n v="31.624999999999996"/>
    <x v="88"/>
    <x v="1"/>
    <x v="0"/>
    <x v="0"/>
  </r>
  <r>
    <x v="126"/>
    <x v="120"/>
    <x v="126"/>
    <s v="A-L-0.5"/>
    <n v="5"/>
    <x v="28"/>
    <s v="bmcamish2e@tripadvisor.com"/>
    <x v="0"/>
    <s v="Ara"/>
    <s v="L"/>
    <x v="1"/>
    <n v="7.77"/>
    <x v="5"/>
    <x v="2"/>
    <x v="1"/>
    <x v="0"/>
  </r>
  <r>
    <x v="127"/>
    <x v="121"/>
    <x v="127"/>
    <s v="A-D-0.2"/>
    <n v="4"/>
    <x v="127"/>
    <s v="lkeenleyside3s@topsy.com"/>
    <x v="0"/>
    <s v="Ara"/>
    <s v="D"/>
    <x v="3"/>
    <n v="2.9849999999999999"/>
    <x v="22"/>
    <x v="2"/>
    <x v="2"/>
    <x v="1"/>
  </r>
  <r>
    <x v="128"/>
    <x v="122"/>
    <x v="128"/>
    <s v="E-L-2.5"/>
    <n v="3"/>
    <x v="128"/>
    <s v=""/>
    <x v="1"/>
    <s v="Exc"/>
    <s v="L"/>
    <x v="2"/>
    <n v="34.154999999999994"/>
    <x v="89"/>
    <x v="1"/>
    <x v="1"/>
    <x v="1"/>
  </r>
  <r>
    <x v="129"/>
    <x v="123"/>
    <x v="129"/>
    <s v="E-D-1"/>
    <n v="4"/>
    <x v="129"/>
    <s v=""/>
    <x v="0"/>
    <s v="Exc"/>
    <s v="D"/>
    <x v="0"/>
    <n v="12.15"/>
    <x v="90"/>
    <x v="1"/>
    <x v="2"/>
    <x v="1"/>
  </r>
  <r>
    <x v="130"/>
    <x v="124"/>
    <x v="130"/>
    <s v="L-D-1"/>
    <n v="6"/>
    <x v="130"/>
    <s v=""/>
    <x v="0"/>
    <s v="Lib"/>
    <s v="D"/>
    <x v="0"/>
    <n v="12.95"/>
    <x v="17"/>
    <x v="3"/>
    <x v="2"/>
    <x v="0"/>
  </r>
  <r>
    <x v="131"/>
    <x v="125"/>
    <x v="131"/>
    <s v="L-D-2.5"/>
    <n v="1"/>
    <x v="131"/>
    <s v="vkundt3w@bigcartel.com"/>
    <x v="1"/>
    <s v="Lib"/>
    <s v="D"/>
    <x v="2"/>
    <n v="29.784999999999997"/>
    <x v="91"/>
    <x v="3"/>
    <x v="2"/>
    <x v="0"/>
  </r>
  <r>
    <x v="132"/>
    <x v="126"/>
    <x v="132"/>
    <s v="A-L-0.2"/>
    <n v="4"/>
    <x v="132"/>
    <s v="bbett3x@google.de"/>
    <x v="0"/>
    <s v="Ara"/>
    <s v="L"/>
    <x v="3"/>
    <n v="3.8849999999999998"/>
    <x v="42"/>
    <x v="2"/>
    <x v="1"/>
    <x v="0"/>
  </r>
  <r>
    <x v="133"/>
    <x v="127"/>
    <x v="133"/>
    <s v="E-L-2.5"/>
    <n v="4"/>
    <x v="133"/>
    <s v=""/>
    <x v="1"/>
    <s v="Exc"/>
    <s v="L"/>
    <x v="2"/>
    <n v="34.154999999999994"/>
    <x v="56"/>
    <x v="1"/>
    <x v="1"/>
    <x v="0"/>
  </r>
  <r>
    <x v="134"/>
    <x v="128"/>
    <x v="134"/>
    <s v="L-M-0.5"/>
    <n v="2"/>
    <x v="134"/>
    <s v="dstaite3z@scientificamerican.com"/>
    <x v="0"/>
    <s v="Lib"/>
    <s v="M"/>
    <x v="1"/>
    <n v="8.73"/>
    <x v="92"/>
    <x v="3"/>
    <x v="0"/>
    <x v="1"/>
  </r>
  <r>
    <x v="135"/>
    <x v="103"/>
    <x v="135"/>
    <s v="E-L-2.5"/>
    <n v="2"/>
    <x v="135"/>
    <s v="wkeyse40@apple.com"/>
    <x v="0"/>
    <s v="Exc"/>
    <s v="L"/>
    <x v="2"/>
    <n v="34.154999999999994"/>
    <x v="93"/>
    <x v="1"/>
    <x v="1"/>
    <x v="0"/>
  </r>
  <r>
    <x v="136"/>
    <x v="129"/>
    <x v="136"/>
    <s v="L-M-0.2"/>
    <n v="4"/>
    <x v="136"/>
    <s v="oclausenthue41@marriott.com"/>
    <x v="0"/>
    <s v="Lib"/>
    <s v="M"/>
    <x v="3"/>
    <n v="4.3650000000000002"/>
    <x v="92"/>
    <x v="3"/>
    <x v="0"/>
    <x v="1"/>
  </r>
  <r>
    <x v="137"/>
    <x v="130"/>
    <x v="137"/>
    <s v="L-M-1"/>
    <n v="3"/>
    <x v="137"/>
    <s v="lfrancisco42@fema.gov"/>
    <x v="0"/>
    <s v="Lib"/>
    <s v="M"/>
    <x v="0"/>
    <n v="14.55"/>
    <x v="34"/>
    <x v="3"/>
    <x v="0"/>
    <x v="1"/>
  </r>
  <r>
    <x v="137"/>
    <x v="130"/>
    <x v="137"/>
    <s v="E-M-1"/>
    <n v="2"/>
    <x v="137"/>
    <s v="lfrancisco42@fema.gov"/>
    <x v="0"/>
    <s v="Exc"/>
    <s v="M"/>
    <x v="0"/>
    <n v="13.75"/>
    <x v="3"/>
    <x v="1"/>
    <x v="0"/>
    <x v="1"/>
  </r>
  <r>
    <x v="138"/>
    <x v="131"/>
    <x v="138"/>
    <s v="E-D-0.2"/>
    <n v="5"/>
    <x v="138"/>
    <s v="gskingle44@clickbank.net"/>
    <x v="0"/>
    <s v="Exc"/>
    <s v="D"/>
    <x v="3"/>
    <n v="3.645"/>
    <x v="94"/>
    <x v="1"/>
    <x v="2"/>
    <x v="0"/>
  </r>
  <r>
    <x v="139"/>
    <x v="132"/>
    <x v="139"/>
    <s v="A-M-2.5"/>
    <n v="2"/>
    <x v="139"/>
    <s v=""/>
    <x v="0"/>
    <s v="Ara"/>
    <s v="M"/>
    <x v="2"/>
    <n v="25.874999999999996"/>
    <x v="95"/>
    <x v="2"/>
    <x v="0"/>
    <x v="0"/>
  </r>
  <r>
    <x v="140"/>
    <x v="133"/>
    <x v="140"/>
    <s v="L-D-1"/>
    <n v="1"/>
    <x v="140"/>
    <s v="jbalsillie46@princeton.edu"/>
    <x v="0"/>
    <s v="Lib"/>
    <s v="D"/>
    <x v="0"/>
    <n v="12.95"/>
    <x v="2"/>
    <x v="3"/>
    <x v="2"/>
    <x v="0"/>
  </r>
  <r>
    <x v="141"/>
    <x v="134"/>
    <x v="141"/>
    <s v="A-M-1"/>
    <n v="3"/>
    <x v="141"/>
    <s v=""/>
    <x v="0"/>
    <s v="Ara"/>
    <s v="M"/>
    <x v="0"/>
    <n v="11.25"/>
    <x v="65"/>
    <x v="2"/>
    <x v="0"/>
    <x v="0"/>
  </r>
  <r>
    <x v="142"/>
    <x v="113"/>
    <x v="142"/>
    <s v="R-M-2.5"/>
    <n v="3"/>
    <x v="142"/>
    <s v="bleffek48@ning.com"/>
    <x v="0"/>
    <s v="Rob"/>
    <s v="M"/>
    <x v="2"/>
    <n v="22.884999999999998"/>
    <x v="96"/>
    <x v="0"/>
    <x v="0"/>
    <x v="0"/>
  </r>
  <r>
    <x v="143"/>
    <x v="135"/>
    <x v="143"/>
    <s v="R-D-0.2"/>
    <n v="1"/>
    <x v="143"/>
    <s v=""/>
    <x v="0"/>
    <s v="Rob"/>
    <s v="D"/>
    <x v="3"/>
    <n v="2.6849999999999996"/>
    <x v="97"/>
    <x v="0"/>
    <x v="2"/>
    <x v="1"/>
  </r>
  <r>
    <x v="144"/>
    <x v="35"/>
    <x v="144"/>
    <s v="A-D-2.5"/>
    <n v="5"/>
    <x v="144"/>
    <s v="jpray4a@youtube.com"/>
    <x v="0"/>
    <s v="Ara"/>
    <s v="D"/>
    <x v="2"/>
    <n v="22.884999999999998"/>
    <x v="15"/>
    <x v="2"/>
    <x v="2"/>
    <x v="1"/>
  </r>
  <r>
    <x v="145"/>
    <x v="136"/>
    <x v="145"/>
    <s v="A-M-2.5"/>
    <n v="6"/>
    <x v="145"/>
    <s v="gholborn4b@ow.ly"/>
    <x v="0"/>
    <s v="Ara"/>
    <s v="M"/>
    <x v="2"/>
    <n v="25.874999999999996"/>
    <x v="71"/>
    <x v="2"/>
    <x v="0"/>
    <x v="0"/>
  </r>
  <r>
    <x v="146"/>
    <x v="137"/>
    <x v="146"/>
    <s v="A-M-2.5"/>
    <n v="3"/>
    <x v="146"/>
    <s v="fkeinrat4c@dailymail.co.uk"/>
    <x v="0"/>
    <s v="Ara"/>
    <s v="M"/>
    <x v="2"/>
    <n v="25.874999999999996"/>
    <x v="57"/>
    <x v="2"/>
    <x v="0"/>
    <x v="0"/>
  </r>
  <r>
    <x v="147"/>
    <x v="138"/>
    <x v="147"/>
    <s v="R-D-2.5"/>
    <n v="3"/>
    <x v="147"/>
    <s v="pyea4d@aol.com"/>
    <x v="1"/>
    <s v="Rob"/>
    <s v="D"/>
    <x v="2"/>
    <n v="20.584999999999997"/>
    <x v="98"/>
    <x v="0"/>
    <x v="2"/>
    <x v="1"/>
  </r>
  <r>
    <x v="148"/>
    <x v="139"/>
    <x v="148"/>
    <s v="R-D-2.5"/>
    <n v="6"/>
    <x v="148"/>
    <s v=""/>
    <x v="0"/>
    <s v="Rob"/>
    <s v="D"/>
    <x v="2"/>
    <n v="20.584999999999997"/>
    <x v="99"/>
    <x v="0"/>
    <x v="2"/>
    <x v="0"/>
  </r>
  <r>
    <x v="149"/>
    <x v="140"/>
    <x v="149"/>
    <s v="L-L-2.5"/>
    <n v="6"/>
    <x v="149"/>
    <s v=""/>
    <x v="0"/>
    <s v="Lib"/>
    <s v="L"/>
    <x v="2"/>
    <n v="36.454999999999998"/>
    <x v="100"/>
    <x v="3"/>
    <x v="1"/>
    <x v="1"/>
  </r>
  <r>
    <x v="150"/>
    <x v="141"/>
    <x v="150"/>
    <s v="E-M-0.5"/>
    <n v="4"/>
    <x v="150"/>
    <s v="kswede4g@addthis.com"/>
    <x v="0"/>
    <s v="Exc"/>
    <s v="M"/>
    <x v="1"/>
    <n v="8.25"/>
    <x v="101"/>
    <x v="1"/>
    <x v="0"/>
    <x v="1"/>
  </r>
  <r>
    <x v="151"/>
    <x v="142"/>
    <x v="151"/>
    <s v="A-L-0.5"/>
    <n v="3"/>
    <x v="151"/>
    <s v="lrubrow4h@microsoft.com"/>
    <x v="0"/>
    <s v="Ara"/>
    <s v="L"/>
    <x v="1"/>
    <n v="7.77"/>
    <x v="102"/>
    <x v="2"/>
    <x v="1"/>
    <x v="1"/>
  </r>
  <r>
    <x v="152"/>
    <x v="143"/>
    <x v="152"/>
    <s v="E-D-0.5"/>
    <n v="3"/>
    <x v="152"/>
    <s v="dtift4i@netvibes.com"/>
    <x v="0"/>
    <s v="Exc"/>
    <s v="D"/>
    <x v="1"/>
    <n v="7.29"/>
    <x v="6"/>
    <x v="1"/>
    <x v="2"/>
    <x v="0"/>
  </r>
  <r>
    <x v="153"/>
    <x v="144"/>
    <x v="153"/>
    <s v="R-D-0.2"/>
    <n v="6"/>
    <x v="153"/>
    <s v="gschonfeld4j@oracle.com"/>
    <x v="0"/>
    <s v="Rob"/>
    <s v="D"/>
    <x v="3"/>
    <n v="2.6849999999999996"/>
    <x v="103"/>
    <x v="0"/>
    <x v="2"/>
    <x v="1"/>
  </r>
  <r>
    <x v="154"/>
    <x v="145"/>
    <x v="154"/>
    <s v="E-D-0.5"/>
    <n v="4"/>
    <x v="154"/>
    <s v="cfeye4k@google.co.jp"/>
    <x v="1"/>
    <s v="Exc"/>
    <s v="D"/>
    <x v="1"/>
    <n v="7.29"/>
    <x v="104"/>
    <x v="1"/>
    <x v="2"/>
    <x v="1"/>
  </r>
  <r>
    <x v="155"/>
    <x v="146"/>
    <x v="155"/>
    <s v="R-D-1"/>
    <n v="6"/>
    <x v="155"/>
    <s v=""/>
    <x v="0"/>
    <s v="Rob"/>
    <s v="D"/>
    <x v="0"/>
    <n v="8.9499999999999993"/>
    <x v="59"/>
    <x v="0"/>
    <x v="2"/>
    <x v="0"/>
  </r>
  <r>
    <x v="156"/>
    <x v="147"/>
    <x v="156"/>
    <s v="R-D-0.5"/>
    <n v="5"/>
    <x v="156"/>
    <s v=""/>
    <x v="0"/>
    <s v="Rob"/>
    <s v="D"/>
    <x v="1"/>
    <n v="5.3699999999999992"/>
    <x v="51"/>
    <x v="0"/>
    <x v="2"/>
    <x v="0"/>
  </r>
  <r>
    <x v="157"/>
    <x v="148"/>
    <x v="157"/>
    <s v="E-M-0.5"/>
    <n v="5"/>
    <x v="157"/>
    <s v="tfero4n@comsenz.com"/>
    <x v="0"/>
    <s v="Exc"/>
    <s v="M"/>
    <x v="1"/>
    <n v="8.25"/>
    <x v="1"/>
    <x v="1"/>
    <x v="0"/>
    <x v="0"/>
  </r>
  <r>
    <x v="158"/>
    <x v="149"/>
    <x v="158"/>
    <s v="A-M-0.5"/>
    <n v="6"/>
    <x v="158"/>
    <s v=""/>
    <x v="1"/>
    <s v="Ara"/>
    <s v="M"/>
    <x v="1"/>
    <n v="6.75"/>
    <x v="61"/>
    <x v="2"/>
    <x v="0"/>
    <x v="1"/>
  </r>
  <r>
    <x v="159"/>
    <x v="150"/>
    <x v="159"/>
    <s v="R-D-1"/>
    <n v="2"/>
    <x v="159"/>
    <s v="fdauney4p@sphinn.com"/>
    <x v="1"/>
    <s v="Rob"/>
    <s v="D"/>
    <x v="0"/>
    <n v="8.9499999999999993"/>
    <x v="105"/>
    <x v="0"/>
    <x v="2"/>
    <x v="1"/>
  </r>
  <r>
    <x v="160"/>
    <x v="151"/>
    <x v="160"/>
    <s v="E-L-2.5"/>
    <n v="2"/>
    <x v="160"/>
    <s v="searley4q@youku.com"/>
    <x v="2"/>
    <s v="Exc"/>
    <s v="L"/>
    <x v="2"/>
    <n v="34.154999999999994"/>
    <x v="93"/>
    <x v="1"/>
    <x v="1"/>
    <x v="1"/>
  </r>
  <r>
    <x v="161"/>
    <x v="13"/>
    <x v="161"/>
    <s v="E-M-2.5"/>
    <n v="2"/>
    <x v="161"/>
    <s v="mchamberlayne4r@bigcartel.com"/>
    <x v="0"/>
    <s v="Exc"/>
    <s v="M"/>
    <x v="2"/>
    <n v="31.624999999999996"/>
    <x v="40"/>
    <x v="1"/>
    <x v="0"/>
    <x v="0"/>
  </r>
  <r>
    <x v="162"/>
    <x v="79"/>
    <x v="162"/>
    <s v="E-D-0.5"/>
    <n v="3"/>
    <x v="162"/>
    <s v="bflaherty4s@moonfruit.com"/>
    <x v="1"/>
    <s v="Exc"/>
    <s v="D"/>
    <x v="1"/>
    <n v="7.29"/>
    <x v="6"/>
    <x v="1"/>
    <x v="2"/>
    <x v="1"/>
  </r>
  <r>
    <x v="163"/>
    <x v="152"/>
    <x v="163"/>
    <s v="R-M-2.5"/>
    <n v="4"/>
    <x v="163"/>
    <s v="ocolbeck4t@sina.com.cn"/>
    <x v="0"/>
    <s v="Rob"/>
    <s v="M"/>
    <x v="2"/>
    <n v="22.884999999999998"/>
    <x v="21"/>
    <x v="0"/>
    <x v="0"/>
    <x v="1"/>
  </r>
  <r>
    <x v="164"/>
    <x v="153"/>
    <x v="164"/>
    <s v="E-L-2.5"/>
    <n v="6"/>
    <x v="164"/>
    <s v=""/>
    <x v="0"/>
    <s v="Exc"/>
    <s v="L"/>
    <x v="2"/>
    <n v="34.154999999999994"/>
    <x v="106"/>
    <x v="1"/>
    <x v="1"/>
    <x v="0"/>
  </r>
  <r>
    <x v="165"/>
    <x v="154"/>
    <x v="165"/>
    <s v="E-M-2.5"/>
    <n v="2"/>
    <x v="165"/>
    <s v="ehobbing4v@nsw.gov.au"/>
    <x v="0"/>
    <s v="Exc"/>
    <s v="M"/>
    <x v="2"/>
    <n v="31.624999999999996"/>
    <x v="40"/>
    <x v="1"/>
    <x v="0"/>
    <x v="0"/>
  </r>
  <r>
    <x v="166"/>
    <x v="155"/>
    <x v="166"/>
    <s v="E-L-2.5"/>
    <n v="1"/>
    <x v="166"/>
    <s v="othynne4w@auda.org.au"/>
    <x v="0"/>
    <s v="Exc"/>
    <s v="L"/>
    <x v="2"/>
    <n v="34.154999999999994"/>
    <x v="107"/>
    <x v="1"/>
    <x v="1"/>
    <x v="0"/>
  </r>
  <r>
    <x v="167"/>
    <x v="156"/>
    <x v="167"/>
    <s v="R-L-2.5"/>
    <n v="4"/>
    <x v="167"/>
    <s v="eheining4x@flickr.com"/>
    <x v="0"/>
    <s v="Rob"/>
    <s v="L"/>
    <x v="2"/>
    <n v="27.484999999999996"/>
    <x v="108"/>
    <x v="0"/>
    <x v="1"/>
    <x v="0"/>
  </r>
  <r>
    <x v="168"/>
    <x v="22"/>
    <x v="168"/>
    <s v="A-L-1"/>
    <n v="2"/>
    <x v="168"/>
    <s v="kmelloi4y@imdb.com"/>
    <x v="0"/>
    <s v="Ara"/>
    <s v="L"/>
    <x v="0"/>
    <n v="12.95"/>
    <x v="109"/>
    <x v="2"/>
    <x v="1"/>
    <x v="1"/>
  </r>
  <r>
    <x v="169"/>
    <x v="157"/>
    <x v="169"/>
    <s v="A-D-0.2"/>
    <n v="1"/>
    <x v="169"/>
    <s v=""/>
    <x v="1"/>
    <s v="Ara"/>
    <s v="D"/>
    <x v="3"/>
    <n v="2.9849999999999999"/>
    <x v="55"/>
    <x v="2"/>
    <x v="2"/>
    <x v="1"/>
  </r>
  <r>
    <x v="170"/>
    <x v="158"/>
    <x v="170"/>
    <s v="E-L-0.2"/>
    <n v="5"/>
    <x v="170"/>
    <s v="amussen50@51.la"/>
    <x v="0"/>
    <s v="Exc"/>
    <s v="L"/>
    <x v="3"/>
    <n v="4.4550000000000001"/>
    <x v="110"/>
    <x v="1"/>
    <x v="1"/>
    <x v="1"/>
  </r>
  <r>
    <x v="170"/>
    <x v="158"/>
    <x v="170"/>
    <s v="A-D-0.5"/>
    <n v="5"/>
    <x v="170"/>
    <s v="amussen50@51.la"/>
    <x v="0"/>
    <s v="Ara"/>
    <s v="D"/>
    <x v="1"/>
    <n v="5.97"/>
    <x v="44"/>
    <x v="2"/>
    <x v="2"/>
    <x v="1"/>
  </r>
  <r>
    <x v="171"/>
    <x v="78"/>
    <x v="171"/>
    <s v="R-D-0.5"/>
    <n v="6"/>
    <x v="171"/>
    <s v="amundford52@nbcnews.com"/>
    <x v="0"/>
    <s v="Rob"/>
    <s v="D"/>
    <x v="1"/>
    <n v="5.3699999999999992"/>
    <x v="111"/>
    <x v="0"/>
    <x v="2"/>
    <x v="1"/>
  </r>
  <r>
    <x v="172"/>
    <x v="159"/>
    <x v="172"/>
    <s v="E-M-0.2"/>
    <n v="2"/>
    <x v="172"/>
    <s v="twalas53@google.ca"/>
    <x v="0"/>
    <s v="Exc"/>
    <s v="M"/>
    <x v="3"/>
    <n v="4.125"/>
    <x v="112"/>
    <x v="1"/>
    <x v="0"/>
    <x v="1"/>
  </r>
  <r>
    <x v="173"/>
    <x v="160"/>
    <x v="173"/>
    <s v="A-L-0.5"/>
    <n v="4"/>
    <x v="173"/>
    <s v="iblazewicz54@thetimes.co.uk"/>
    <x v="0"/>
    <s v="Ara"/>
    <s v="L"/>
    <x v="1"/>
    <n v="7.77"/>
    <x v="113"/>
    <x v="2"/>
    <x v="1"/>
    <x v="1"/>
  </r>
  <r>
    <x v="174"/>
    <x v="161"/>
    <x v="174"/>
    <s v="E-D-0.5"/>
    <n v="5"/>
    <x v="174"/>
    <s v="arizzetti55@naver.com"/>
    <x v="0"/>
    <s v="Exc"/>
    <s v="D"/>
    <x v="1"/>
    <n v="7.29"/>
    <x v="114"/>
    <x v="1"/>
    <x v="2"/>
    <x v="0"/>
  </r>
  <r>
    <x v="175"/>
    <x v="162"/>
    <x v="175"/>
    <s v="R-M-2.5"/>
    <n v="3"/>
    <x v="175"/>
    <s v="mmeriet56@noaa.gov"/>
    <x v="0"/>
    <s v="Rob"/>
    <s v="M"/>
    <x v="2"/>
    <n v="22.884999999999998"/>
    <x v="96"/>
    <x v="0"/>
    <x v="0"/>
    <x v="1"/>
  </r>
  <r>
    <x v="176"/>
    <x v="70"/>
    <x v="176"/>
    <s v="L-M-0.5"/>
    <n v="5"/>
    <x v="176"/>
    <s v="lpratt57@netvibes.com"/>
    <x v="0"/>
    <s v="Lib"/>
    <s v="M"/>
    <x v="1"/>
    <n v="8.73"/>
    <x v="34"/>
    <x v="3"/>
    <x v="0"/>
    <x v="0"/>
  </r>
  <r>
    <x v="177"/>
    <x v="163"/>
    <x v="177"/>
    <s v="E-L-0.2"/>
    <n v="1"/>
    <x v="177"/>
    <s v="akitchingham58@com.com"/>
    <x v="0"/>
    <s v="Exc"/>
    <s v="L"/>
    <x v="3"/>
    <n v="4.4550000000000001"/>
    <x v="115"/>
    <x v="1"/>
    <x v="1"/>
    <x v="0"/>
  </r>
  <r>
    <x v="178"/>
    <x v="153"/>
    <x v="178"/>
    <s v="L-M-1"/>
    <n v="3"/>
    <x v="178"/>
    <s v="bbartholin59@xinhuanet.com"/>
    <x v="0"/>
    <s v="Lib"/>
    <s v="M"/>
    <x v="0"/>
    <n v="14.55"/>
    <x v="34"/>
    <x v="3"/>
    <x v="0"/>
    <x v="0"/>
  </r>
  <r>
    <x v="179"/>
    <x v="164"/>
    <x v="179"/>
    <s v="L-M-2.5"/>
    <n v="1"/>
    <x v="179"/>
    <s v="mprinn5a@usa.gov"/>
    <x v="0"/>
    <s v="Lib"/>
    <s v="M"/>
    <x v="2"/>
    <n v="33.464999999999996"/>
    <x v="116"/>
    <x v="3"/>
    <x v="0"/>
    <x v="0"/>
  </r>
  <r>
    <x v="180"/>
    <x v="165"/>
    <x v="180"/>
    <s v="L-D-0.2"/>
    <n v="5"/>
    <x v="180"/>
    <s v="abaudino5b@netvibes.com"/>
    <x v="0"/>
    <s v="Lib"/>
    <s v="D"/>
    <x v="3"/>
    <n v="3.8849999999999998"/>
    <x v="117"/>
    <x v="3"/>
    <x v="2"/>
    <x v="0"/>
  </r>
  <r>
    <x v="181"/>
    <x v="166"/>
    <x v="181"/>
    <s v="E-D-1"/>
    <n v="6"/>
    <x v="181"/>
    <s v="ppetrushanko5c@blinklist.com"/>
    <x v="1"/>
    <s v="Exc"/>
    <s v="D"/>
    <x v="0"/>
    <n v="12.15"/>
    <x v="118"/>
    <x v="1"/>
    <x v="2"/>
    <x v="0"/>
  </r>
  <r>
    <x v="182"/>
    <x v="167"/>
    <x v="182"/>
    <s v="E-L-1"/>
    <n v="3"/>
    <x v="182"/>
    <s v=""/>
    <x v="0"/>
    <s v="Exc"/>
    <s v="L"/>
    <x v="0"/>
    <n v="14.85"/>
    <x v="69"/>
    <x v="1"/>
    <x v="1"/>
    <x v="1"/>
  </r>
  <r>
    <x v="183"/>
    <x v="168"/>
    <x v="183"/>
    <s v="E-D-0.5"/>
    <n v="5"/>
    <x v="183"/>
    <s v="elaird5e@bing.com"/>
    <x v="0"/>
    <s v="Exc"/>
    <s v="D"/>
    <x v="1"/>
    <n v="7.29"/>
    <x v="114"/>
    <x v="1"/>
    <x v="2"/>
    <x v="1"/>
  </r>
  <r>
    <x v="184"/>
    <x v="169"/>
    <x v="184"/>
    <s v="A-L-1"/>
    <n v="3"/>
    <x v="184"/>
    <s v="mhowsden5f@infoseek.co.jp"/>
    <x v="0"/>
    <s v="Ara"/>
    <s v="L"/>
    <x v="0"/>
    <n v="12.95"/>
    <x v="5"/>
    <x v="2"/>
    <x v="1"/>
    <x v="1"/>
  </r>
  <r>
    <x v="185"/>
    <x v="170"/>
    <x v="185"/>
    <s v="E-L-0.5"/>
    <n v="6"/>
    <x v="185"/>
    <s v="ncuttler5g@parallels.com"/>
    <x v="0"/>
    <s v="Exc"/>
    <s v="L"/>
    <x v="1"/>
    <n v="8.91"/>
    <x v="119"/>
    <x v="1"/>
    <x v="1"/>
    <x v="1"/>
  </r>
  <r>
    <x v="185"/>
    <x v="170"/>
    <x v="185"/>
    <s v="L-D-2.5"/>
    <n v="2"/>
    <x v="185"/>
    <s v="ncuttler5g@parallels.com"/>
    <x v="0"/>
    <s v="Lib"/>
    <s v="D"/>
    <x v="2"/>
    <n v="29.784999999999997"/>
    <x v="120"/>
    <x v="3"/>
    <x v="2"/>
    <x v="1"/>
  </r>
  <r>
    <x v="185"/>
    <x v="170"/>
    <x v="185"/>
    <s v="L-D-2.5"/>
    <n v="3"/>
    <x v="28"/>
    <s v="ncuttler5g@parallels.com"/>
    <x v="0"/>
    <s v="Lib"/>
    <s v="D"/>
    <x v="2"/>
    <n v="29.784999999999997"/>
    <x v="49"/>
    <x v="3"/>
    <x v="2"/>
    <x v="1"/>
  </r>
  <r>
    <x v="185"/>
    <x v="170"/>
    <x v="185"/>
    <s v="L-L-0.5"/>
    <n v="4"/>
    <x v="28"/>
    <s v="ncuttler5g@parallels.com"/>
    <x v="0"/>
    <s v="Lib"/>
    <s v="L"/>
    <x v="1"/>
    <n v="9.51"/>
    <x v="82"/>
    <x v="3"/>
    <x v="1"/>
    <x v="1"/>
  </r>
  <r>
    <x v="185"/>
    <x v="170"/>
    <x v="185"/>
    <s v="E-M-1"/>
    <n v="3"/>
    <x v="28"/>
    <s v="ncuttler5g@parallels.com"/>
    <x v="0"/>
    <s v="Exc"/>
    <s v="M"/>
    <x v="0"/>
    <n v="13.75"/>
    <x v="1"/>
    <x v="1"/>
    <x v="0"/>
    <x v="1"/>
  </r>
  <r>
    <x v="186"/>
    <x v="171"/>
    <x v="186"/>
    <s v="L-L-0.5"/>
    <n v="6"/>
    <x v="186"/>
    <s v=""/>
    <x v="0"/>
    <s v="Lib"/>
    <s v="L"/>
    <x v="1"/>
    <n v="9.51"/>
    <x v="30"/>
    <x v="3"/>
    <x v="1"/>
    <x v="1"/>
  </r>
  <r>
    <x v="187"/>
    <x v="172"/>
    <x v="187"/>
    <s v="L-D-2.5"/>
    <n v="6"/>
    <x v="187"/>
    <s v="tfelip5m@typepad.com"/>
    <x v="0"/>
    <s v="Lib"/>
    <s v="D"/>
    <x v="2"/>
    <n v="29.784999999999997"/>
    <x v="39"/>
    <x v="3"/>
    <x v="2"/>
    <x v="0"/>
  </r>
  <r>
    <x v="188"/>
    <x v="173"/>
    <x v="188"/>
    <s v="L-L-0.2"/>
    <n v="1"/>
    <x v="188"/>
    <s v="vle5n@disqus.com"/>
    <x v="0"/>
    <s v="Lib"/>
    <s v="L"/>
    <x v="3"/>
    <n v="4.7549999999999999"/>
    <x v="7"/>
    <x v="3"/>
    <x v="1"/>
    <x v="1"/>
  </r>
  <r>
    <x v="189"/>
    <x v="174"/>
    <x v="189"/>
    <s v="E-M-1"/>
    <n v="6"/>
    <x v="189"/>
    <s v=""/>
    <x v="0"/>
    <s v="Exc"/>
    <s v="M"/>
    <x v="0"/>
    <n v="13.75"/>
    <x v="121"/>
    <x v="1"/>
    <x v="0"/>
    <x v="1"/>
  </r>
  <r>
    <x v="190"/>
    <x v="175"/>
    <x v="190"/>
    <s v="R-D-0.2"/>
    <n v="3"/>
    <x v="190"/>
    <s v=""/>
    <x v="0"/>
    <s v="Rob"/>
    <s v="D"/>
    <x v="3"/>
    <n v="2.6849999999999996"/>
    <x v="36"/>
    <x v="0"/>
    <x v="2"/>
    <x v="0"/>
  </r>
  <r>
    <x v="191"/>
    <x v="176"/>
    <x v="191"/>
    <s v="A-M-1"/>
    <n v="2"/>
    <x v="191"/>
    <s v="npoolman5q@howstuffworks.com"/>
    <x v="0"/>
    <s v="Ara"/>
    <s v="M"/>
    <x v="0"/>
    <n v="11.25"/>
    <x v="122"/>
    <x v="2"/>
    <x v="0"/>
    <x v="1"/>
  </r>
  <r>
    <x v="192"/>
    <x v="142"/>
    <x v="192"/>
    <s v="A-M-0.5"/>
    <n v="6"/>
    <x v="192"/>
    <s v="oduny5r@constantcontact.com"/>
    <x v="0"/>
    <s v="Ara"/>
    <s v="M"/>
    <x v="1"/>
    <n v="6.75"/>
    <x v="61"/>
    <x v="2"/>
    <x v="0"/>
    <x v="0"/>
  </r>
  <r>
    <x v="193"/>
    <x v="177"/>
    <x v="193"/>
    <s v="E-D-0.5"/>
    <n v="4"/>
    <x v="193"/>
    <s v="chalfhide5s@google.ru"/>
    <x v="1"/>
    <s v="Exc"/>
    <s v="D"/>
    <x v="1"/>
    <n v="7.29"/>
    <x v="104"/>
    <x v="1"/>
    <x v="2"/>
    <x v="0"/>
  </r>
  <r>
    <x v="194"/>
    <x v="178"/>
    <x v="194"/>
    <s v="A-M-0.5"/>
    <n v="1"/>
    <x v="194"/>
    <s v="fmalecky5t@list-manage.com"/>
    <x v="2"/>
    <s v="Ara"/>
    <s v="M"/>
    <x v="1"/>
    <n v="6.75"/>
    <x v="52"/>
    <x v="2"/>
    <x v="0"/>
    <x v="1"/>
  </r>
  <r>
    <x v="195"/>
    <x v="179"/>
    <x v="195"/>
    <s v="L-D-1"/>
    <n v="4"/>
    <x v="195"/>
    <s v="aattwater5u@wikia.com"/>
    <x v="0"/>
    <s v="Lib"/>
    <s v="D"/>
    <x v="0"/>
    <n v="12.95"/>
    <x v="67"/>
    <x v="3"/>
    <x v="2"/>
    <x v="0"/>
  </r>
  <r>
    <x v="196"/>
    <x v="180"/>
    <x v="196"/>
    <s v="E-L-0.5"/>
    <n v="6"/>
    <x v="196"/>
    <s v="mwhellans5v@mapquest.com"/>
    <x v="0"/>
    <s v="Exc"/>
    <s v="L"/>
    <x v="1"/>
    <n v="8.91"/>
    <x v="119"/>
    <x v="1"/>
    <x v="1"/>
    <x v="1"/>
  </r>
  <r>
    <x v="197"/>
    <x v="181"/>
    <x v="197"/>
    <s v="E-D-0.2"/>
    <n v="4"/>
    <x v="197"/>
    <s v="dcamilletti5w@businesswire.com"/>
    <x v="0"/>
    <s v="Exc"/>
    <s v="D"/>
    <x v="3"/>
    <n v="3.645"/>
    <x v="20"/>
    <x v="1"/>
    <x v="2"/>
    <x v="0"/>
  </r>
  <r>
    <x v="198"/>
    <x v="182"/>
    <x v="198"/>
    <s v="R-D-2.5"/>
    <n v="1"/>
    <x v="198"/>
    <s v="egalgey5x@wufoo.com"/>
    <x v="0"/>
    <s v="Rob"/>
    <s v="D"/>
    <x v="2"/>
    <n v="20.584999999999997"/>
    <x v="123"/>
    <x v="0"/>
    <x v="2"/>
    <x v="1"/>
  </r>
  <r>
    <x v="199"/>
    <x v="183"/>
    <x v="199"/>
    <s v="L-L-1"/>
    <n v="2"/>
    <x v="199"/>
    <s v="mhame5y@newsvine.com"/>
    <x v="1"/>
    <s v="Lib"/>
    <s v="L"/>
    <x v="0"/>
    <n v="15.85"/>
    <x v="124"/>
    <x v="3"/>
    <x v="1"/>
    <x v="1"/>
  </r>
  <r>
    <x v="200"/>
    <x v="184"/>
    <x v="200"/>
    <s v="L-D-0.2"/>
    <n v="6"/>
    <x v="200"/>
    <s v="igurnee5z@usnews.com"/>
    <x v="0"/>
    <s v="Lib"/>
    <s v="D"/>
    <x v="3"/>
    <n v="3.8849999999999998"/>
    <x v="102"/>
    <x v="3"/>
    <x v="2"/>
    <x v="1"/>
  </r>
  <r>
    <x v="201"/>
    <x v="185"/>
    <x v="201"/>
    <s v="L-M-1"/>
    <n v="4"/>
    <x v="201"/>
    <s v="asnowding60@comsenz.com"/>
    <x v="0"/>
    <s v="Lib"/>
    <s v="M"/>
    <x v="0"/>
    <n v="14.55"/>
    <x v="125"/>
    <x v="3"/>
    <x v="0"/>
    <x v="0"/>
  </r>
  <r>
    <x v="202"/>
    <x v="186"/>
    <x v="202"/>
    <s v="E-L-0.5"/>
    <n v="4"/>
    <x v="202"/>
    <s v="gpoinsett61@berkeley.edu"/>
    <x v="0"/>
    <s v="Exc"/>
    <s v="L"/>
    <x v="1"/>
    <n v="8.91"/>
    <x v="70"/>
    <x v="1"/>
    <x v="1"/>
    <x v="1"/>
  </r>
  <r>
    <x v="203"/>
    <x v="187"/>
    <x v="203"/>
    <s v="A-M-1"/>
    <n v="5"/>
    <x v="203"/>
    <s v="rfurman62@t.co"/>
    <x v="1"/>
    <s v="Ara"/>
    <s v="M"/>
    <x v="0"/>
    <n v="11.25"/>
    <x v="126"/>
    <x v="2"/>
    <x v="0"/>
    <x v="0"/>
  </r>
  <r>
    <x v="204"/>
    <x v="148"/>
    <x v="204"/>
    <s v="R-L-0.2"/>
    <n v="3"/>
    <x v="204"/>
    <s v="ccrosier63@xrea.com"/>
    <x v="0"/>
    <s v="Rob"/>
    <s v="L"/>
    <x v="3"/>
    <n v="3.5849999999999995"/>
    <x v="127"/>
    <x v="0"/>
    <x v="1"/>
    <x v="1"/>
  </r>
  <r>
    <x v="204"/>
    <x v="148"/>
    <x v="204"/>
    <s v="R-M-0.2"/>
    <n v="5"/>
    <x v="204"/>
    <s v="ccrosier63@xrea.com"/>
    <x v="0"/>
    <s v="Rob"/>
    <s v="M"/>
    <x v="3"/>
    <n v="2.9849999999999999"/>
    <x v="128"/>
    <x v="0"/>
    <x v="0"/>
    <x v="1"/>
  </r>
  <r>
    <x v="205"/>
    <x v="188"/>
    <x v="205"/>
    <s v="A-L-1"/>
    <n v="6"/>
    <x v="205"/>
    <s v="lrushmer65@europa.eu"/>
    <x v="0"/>
    <s v="Ara"/>
    <s v="L"/>
    <x v="0"/>
    <n v="12.95"/>
    <x v="17"/>
    <x v="2"/>
    <x v="1"/>
    <x v="0"/>
  </r>
  <r>
    <x v="206"/>
    <x v="189"/>
    <x v="206"/>
    <s v="L-D-0.5"/>
    <n v="3"/>
    <x v="206"/>
    <s v="wedinborough66@github.io"/>
    <x v="0"/>
    <s v="Lib"/>
    <s v="D"/>
    <x v="1"/>
    <n v="7.77"/>
    <x v="102"/>
    <x v="3"/>
    <x v="2"/>
    <x v="1"/>
  </r>
  <r>
    <x v="207"/>
    <x v="190"/>
    <x v="207"/>
    <s v="E-L-1"/>
    <n v="4"/>
    <x v="207"/>
    <s v=""/>
    <x v="0"/>
    <s v="Exc"/>
    <s v="L"/>
    <x v="0"/>
    <n v="14.85"/>
    <x v="48"/>
    <x v="1"/>
    <x v="1"/>
    <x v="0"/>
  </r>
  <r>
    <x v="208"/>
    <x v="191"/>
    <x v="208"/>
    <s v="L-D-2.5"/>
    <n v="4"/>
    <x v="208"/>
    <s v="kbromehead68@un.org"/>
    <x v="0"/>
    <s v="Lib"/>
    <s v="D"/>
    <x v="2"/>
    <n v="29.784999999999997"/>
    <x v="129"/>
    <x v="3"/>
    <x v="2"/>
    <x v="0"/>
  </r>
  <r>
    <x v="209"/>
    <x v="192"/>
    <x v="209"/>
    <s v="R-L-0.2"/>
    <n v="4"/>
    <x v="209"/>
    <s v="ewesterman69@si.edu"/>
    <x v="1"/>
    <s v="Rob"/>
    <s v="L"/>
    <x v="3"/>
    <n v="3.5849999999999995"/>
    <x v="79"/>
    <x v="0"/>
    <x v="1"/>
    <x v="1"/>
  </r>
  <r>
    <x v="210"/>
    <x v="193"/>
    <x v="210"/>
    <s v="A-M-2.5"/>
    <n v="5"/>
    <x v="210"/>
    <s v="ahutchens6a@amazonaws.com"/>
    <x v="0"/>
    <s v="Ara"/>
    <s v="M"/>
    <x v="2"/>
    <n v="25.874999999999996"/>
    <x v="130"/>
    <x v="2"/>
    <x v="0"/>
    <x v="1"/>
  </r>
  <r>
    <x v="211"/>
    <x v="194"/>
    <x v="211"/>
    <s v="R-D-0.2"/>
    <n v="6"/>
    <x v="211"/>
    <s v="nwyvill6b@naver.com"/>
    <x v="2"/>
    <s v="Rob"/>
    <s v="D"/>
    <x v="3"/>
    <n v="2.6849999999999996"/>
    <x v="103"/>
    <x v="0"/>
    <x v="2"/>
    <x v="0"/>
  </r>
  <r>
    <x v="212"/>
    <x v="195"/>
    <x v="212"/>
    <s v="R-L-0.2"/>
    <n v="5"/>
    <x v="212"/>
    <s v="bmathon6c@barnesandnoble.com"/>
    <x v="0"/>
    <s v="Rob"/>
    <s v="L"/>
    <x v="3"/>
    <n v="3.5849999999999995"/>
    <x v="131"/>
    <x v="0"/>
    <x v="1"/>
    <x v="1"/>
  </r>
  <r>
    <x v="213"/>
    <x v="196"/>
    <x v="213"/>
    <s v="L-M-0.2"/>
    <n v="2"/>
    <x v="213"/>
    <s v="kstreight6d@about.com"/>
    <x v="0"/>
    <s v="Lib"/>
    <s v="M"/>
    <x v="3"/>
    <n v="4.3650000000000002"/>
    <x v="31"/>
    <x v="3"/>
    <x v="0"/>
    <x v="1"/>
  </r>
  <r>
    <x v="214"/>
    <x v="197"/>
    <x v="214"/>
    <s v="A-M-2.5"/>
    <n v="2"/>
    <x v="214"/>
    <s v="pcutchie6e@globo.com"/>
    <x v="0"/>
    <s v="Ara"/>
    <s v="M"/>
    <x v="2"/>
    <n v="25.874999999999996"/>
    <x v="95"/>
    <x v="2"/>
    <x v="0"/>
    <x v="1"/>
  </r>
  <r>
    <x v="215"/>
    <x v="198"/>
    <x v="215"/>
    <s v="L-M-0.2"/>
    <n v="2"/>
    <x v="215"/>
    <s v=""/>
    <x v="0"/>
    <s v="Lib"/>
    <s v="M"/>
    <x v="3"/>
    <n v="4.3650000000000002"/>
    <x v="31"/>
    <x v="3"/>
    <x v="0"/>
    <x v="0"/>
  </r>
  <r>
    <x v="216"/>
    <x v="199"/>
    <x v="216"/>
    <s v="L-L-0.2"/>
    <n v="5"/>
    <x v="216"/>
    <s v="cgheraldi6g@opera.com"/>
    <x v="2"/>
    <s v="Lib"/>
    <s v="L"/>
    <x v="3"/>
    <n v="4.7549999999999999"/>
    <x v="29"/>
    <x v="3"/>
    <x v="1"/>
    <x v="1"/>
  </r>
  <r>
    <x v="217"/>
    <x v="200"/>
    <x v="217"/>
    <s v="E-M-0.2"/>
    <n v="5"/>
    <x v="217"/>
    <s v="bkenwell6h@over-blog.com"/>
    <x v="0"/>
    <s v="Exc"/>
    <s v="M"/>
    <x v="3"/>
    <n v="4.125"/>
    <x v="132"/>
    <x v="1"/>
    <x v="0"/>
    <x v="1"/>
  </r>
  <r>
    <x v="218"/>
    <x v="201"/>
    <x v="218"/>
    <s v="L-L-2.5"/>
    <n v="1"/>
    <x v="218"/>
    <s v="tsutty6i@google.es"/>
    <x v="0"/>
    <s v="Lib"/>
    <s v="L"/>
    <x v="2"/>
    <n v="36.454999999999998"/>
    <x v="133"/>
    <x v="3"/>
    <x v="1"/>
    <x v="1"/>
  </r>
  <r>
    <x v="219"/>
    <x v="202"/>
    <x v="219"/>
    <s v="L-L-2.5"/>
    <n v="5"/>
    <x v="219"/>
    <s v=""/>
    <x v="1"/>
    <s v="Lib"/>
    <s v="L"/>
    <x v="2"/>
    <n v="36.454999999999998"/>
    <x v="134"/>
    <x v="3"/>
    <x v="1"/>
    <x v="1"/>
  </r>
  <r>
    <x v="220"/>
    <x v="203"/>
    <x v="220"/>
    <s v="L-D-2.5"/>
    <n v="3"/>
    <x v="220"/>
    <s v="charce6k@cafepress.com"/>
    <x v="1"/>
    <s v="Lib"/>
    <s v="D"/>
    <x v="2"/>
    <n v="29.784999999999997"/>
    <x v="49"/>
    <x v="3"/>
    <x v="2"/>
    <x v="1"/>
  </r>
  <r>
    <x v="221"/>
    <x v="204"/>
    <x v="221"/>
    <s v="R-L-0.2"/>
    <n v="1"/>
    <x v="221"/>
    <s v=""/>
    <x v="0"/>
    <s v="Rob"/>
    <s v="L"/>
    <x v="3"/>
    <n v="3.5849999999999995"/>
    <x v="60"/>
    <x v="0"/>
    <x v="1"/>
    <x v="0"/>
  </r>
  <r>
    <x v="222"/>
    <x v="205"/>
    <x v="222"/>
    <s v="R-M-2.5"/>
    <n v="2"/>
    <x v="222"/>
    <s v="fdrysdale6m@symantec.com"/>
    <x v="0"/>
    <s v="Rob"/>
    <s v="M"/>
    <x v="2"/>
    <n v="22.884999999999998"/>
    <x v="135"/>
    <x v="0"/>
    <x v="0"/>
    <x v="0"/>
  </r>
  <r>
    <x v="223"/>
    <x v="206"/>
    <x v="223"/>
    <s v="E-L-1"/>
    <n v="4"/>
    <x v="223"/>
    <s v="dmagowan6n@fc2.com"/>
    <x v="0"/>
    <s v="Exc"/>
    <s v="L"/>
    <x v="0"/>
    <n v="14.85"/>
    <x v="48"/>
    <x v="1"/>
    <x v="1"/>
    <x v="1"/>
  </r>
  <r>
    <x v="224"/>
    <x v="207"/>
    <x v="224"/>
    <s v="A-M-2.5"/>
    <n v="6"/>
    <x v="224"/>
    <s v=""/>
    <x v="0"/>
    <s v="Ara"/>
    <s v="M"/>
    <x v="2"/>
    <n v="25.874999999999996"/>
    <x v="71"/>
    <x v="2"/>
    <x v="0"/>
    <x v="0"/>
  </r>
  <r>
    <x v="225"/>
    <x v="208"/>
    <x v="225"/>
    <s v="R-M-2.5"/>
    <n v="2"/>
    <x v="225"/>
    <s v=""/>
    <x v="0"/>
    <s v="Rob"/>
    <s v="M"/>
    <x v="2"/>
    <n v="22.884999999999998"/>
    <x v="135"/>
    <x v="0"/>
    <x v="0"/>
    <x v="1"/>
  </r>
  <r>
    <x v="226"/>
    <x v="209"/>
    <x v="226"/>
    <s v="E-D-1"/>
    <n v="3"/>
    <x v="226"/>
    <s v="srushbrooke6q@youku.com"/>
    <x v="0"/>
    <s v="Exc"/>
    <s v="D"/>
    <x v="0"/>
    <n v="12.15"/>
    <x v="114"/>
    <x v="1"/>
    <x v="2"/>
    <x v="0"/>
  </r>
  <r>
    <x v="227"/>
    <x v="210"/>
    <x v="227"/>
    <s v="E-D-0.5"/>
    <n v="4"/>
    <x v="227"/>
    <s v="tdrynan6r@deviantart.com"/>
    <x v="0"/>
    <s v="Exc"/>
    <s v="D"/>
    <x v="1"/>
    <n v="7.29"/>
    <x v="104"/>
    <x v="1"/>
    <x v="2"/>
    <x v="0"/>
  </r>
  <r>
    <x v="228"/>
    <x v="211"/>
    <x v="228"/>
    <s v="L-M-2.5"/>
    <n v="4"/>
    <x v="228"/>
    <s v="eyurkov6s@hud.gov"/>
    <x v="0"/>
    <s v="Lib"/>
    <s v="M"/>
    <x v="2"/>
    <n v="33.464999999999996"/>
    <x v="136"/>
    <x v="3"/>
    <x v="0"/>
    <x v="1"/>
  </r>
  <r>
    <x v="229"/>
    <x v="212"/>
    <x v="229"/>
    <s v="L-L-0.2"/>
    <n v="5"/>
    <x v="229"/>
    <s v="lmallan6t@state.gov"/>
    <x v="0"/>
    <s v="Lib"/>
    <s v="L"/>
    <x v="3"/>
    <n v="4.7549999999999999"/>
    <x v="29"/>
    <x v="3"/>
    <x v="1"/>
    <x v="0"/>
  </r>
  <r>
    <x v="230"/>
    <x v="213"/>
    <x v="230"/>
    <s v="L-D-1"/>
    <n v="3"/>
    <x v="230"/>
    <s v="gbentjens6u@netlog.com"/>
    <x v="2"/>
    <s v="Lib"/>
    <s v="D"/>
    <x v="0"/>
    <n v="12.95"/>
    <x v="5"/>
    <x v="3"/>
    <x v="2"/>
    <x v="1"/>
  </r>
  <r>
    <x v="231"/>
    <x v="63"/>
    <x v="231"/>
    <s v="R-L-0.2"/>
    <n v="6"/>
    <x v="231"/>
    <s v=""/>
    <x v="1"/>
    <s v="Rob"/>
    <s v="L"/>
    <x v="3"/>
    <n v="3.5849999999999995"/>
    <x v="137"/>
    <x v="0"/>
    <x v="1"/>
    <x v="0"/>
  </r>
  <r>
    <x v="232"/>
    <x v="214"/>
    <x v="232"/>
    <s v="A-D-1"/>
    <n v="1"/>
    <x v="232"/>
    <s v="lentwistle6w@omniture.com"/>
    <x v="0"/>
    <s v="Ara"/>
    <s v="D"/>
    <x v="0"/>
    <n v="9.9499999999999993"/>
    <x v="138"/>
    <x v="2"/>
    <x v="2"/>
    <x v="0"/>
  </r>
  <r>
    <x v="233"/>
    <x v="215"/>
    <x v="233"/>
    <s v="L-L-1"/>
    <n v="1"/>
    <x v="233"/>
    <s v="zkiffe74@cyberchimps.com"/>
    <x v="0"/>
    <s v="Lib"/>
    <s v="L"/>
    <x v="0"/>
    <n v="15.85"/>
    <x v="80"/>
    <x v="3"/>
    <x v="1"/>
    <x v="0"/>
  </r>
  <r>
    <x v="234"/>
    <x v="216"/>
    <x v="234"/>
    <s v="R-M-0.2"/>
    <n v="1"/>
    <x v="234"/>
    <s v="macott6y@pagesperso-orange.fr"/>
    <x v="0"/>
    <s v="Rob"/>
    <s v="M"/>
    <x v="3"/>
    <n v="2.9849999999999999"/>
    <x v="55"/>
    <x v="0"/>
    <x v="0"/>
    <x v="0"/>
  </r>
  <r>
    <x v="235"/>
    <x v="217"/>
    <x v="235"/>
    <s v="E-M-1"/>
    <n v="5"/>
    <x v="235"/>
    <s v="cheaviside6z@rediff.com"/>
    <x v="0"/>
    <s v="Exc"/>
    <s v="M"/>
    <x v="0"/>
    <n v="13.75"/>
    <x v="85"/>
    <x v="1"/>
    <x v="0"/>
    <x v="0"/>
  </r>
  <r>
    <x v="236"/>
    <x v="218"/>
    <x v="236"/>
    <s v="A-D-1"/>
    <n v="3"/>
    <x v="236"/>
    <s v=""/>
    <x v="0"/>
    <s v="Ara"/>
    <s v="D"/>
    <x v="0"/>
    <n v="9.9499999999999993"/>
    <x v="44"/>
    <x v="2"/>
    <x v="2"/>
    <x v="1"/>
  </r>
  <r>
    <x v="237"/>
    <x v="219"/>
    <x v="237"/>
    <s v="L-M-1"/>
    <n v="4"/>
    <x v="237"/>
    <s v="lkernan71@wsj.com"/>
    <x v="0"/>
    <s v="Lib"/>
    <s v="M"/>
    <x v="0"/>
    <n v="14.55"/>
    <x v="125"/>
    <x v="3"/>
    <x v="0"/>
    <x v="1"/>
  </r>
  <r>
    <x v="238"/>
    <x v="220"/>
    <x v="238"/>
    <s v="R-L-0.5"/>
    <n v="4"/>
    <x v="238"/>
    <s v="rmclae72@dailymotion.com"/>
    <x v="2"/>
    <s v="Rob"/>
    <s v="L"/>
    <x v="1"/>
    <n v="7.169999999999999"/>
    <x v="139"/>
    <x v="0"/>
    <x v="1"/>
    <x v="1"/>
  </r>
  <r>
    <x v="239"/>
    <x v="114"/>
    <x v="239"/>
    <s v="R-L-0.5"/>
    <n v="3"/>
    <x v="239"/>
    <s v="cblowfelde73@ustream.tv"/>
    <x v="0"/>
    <s v="Rob"/>
    <s v="L"/>
    <x v="1"/>
    <n v="7.169999999999999"/>
    <x v="137"/>
    <x v="0"/>
    <x v="1"/>
    <x v="1"/>
  </r>
  <r>
    <x v="240"/>
    <x v="221"/>
    <x v="233"/>
    <s v="L-M-0.5"/>
    <n v="2"/>
    <x v="233"/>
    <s v="zkiffe74@cyberchimps.com"/>
    <x v="0"/>
    <s v="Lib"/>
    <s v="M"/>
    <x v="1"/>
    <n v="8.73"/>
    <x v="92"/>
    <x v="3"/>
    <x v="0"/>
    <x v="0"/>
  </r>
  <r>
    <x v="241"/>
    <x v="222"/>
    <x v="240"/>
    <s v="E-D-2.5"/>
    <n v="1"/>
    <x v="240"/>
    <s v="docalleran75@ucla.edu"/>
    <x v="0"/>
    <s v="Exc"/>
    <s v="D"/>
    <x v="2"/>
    <n v="27.945"/>
    <x v="140"/>
    <x v="1"/>
    <x v="2"/>
    <x v="0"/>
  </r>
  <r>
    <x v="242"/>
    <x v="188"/>
    <x v="241"/>
    <s v="E-D-2.5"/>
    <n v="5"/>
    <x v="241"/>
    <s v="ccromwell76@desdev.cn"/>
    <x v="0"/>
    <s v="Exc"/>
    <s v="D"/>
    <x v="2"/>
    <n v="27.945"/>
    <x v="141"/>
    <x v="1"/>
    <x v="2"/>
    <x v="1"/>
  </r>
  <r>
    <x v="243"/>
    <x v="223"/>
    <x v="242"/>
    <s v="R-M-0.2"/>
    <n v="2"/>
    <x v="242"/>
    <s v="ihay77@lulu.com"/>
    <x v="2"/>
    <s v="Rob"/>
    <s v="M"/>
    <x v="3"/>
    <n v="2.9849999999999999"/>
    <x v="9"/>
    <x v="0"/>
    <x v="0"/>
    <x v="1"/>
  </r>
  <r>
    <x v="244"/>
    <x v="224"/>
    <x v="243"/>
    <s v="R-L-2.5"/>
    <n v="1"/>
    <x v="243"/>
    <s v="ttaffarello78@sciencedaily.com"/>
    <x v="0"/>
    <s v="Rob"/>
    <s v="L"/>
    <x v="2"/>
    <n v="27.484999999999996"/>
    <x v="142"/>
    <x v="0"/>
    <x v="1"/>
    <x v="0"/>
  </r>
  <r>
    <x v="245"/>
    <x v="83"/>
    <x v="244"/>
    <s v="R-L-1"/>
    <n v="5"/>
    <x v="244"/>
    <s v="mcanty79@jigsy.com"/>
    <x v="0"/>
    <s v="Rob"/>
    <s v="L"/>
    <x v="0"/>
    <n v="11.95"/>
    <x v="143"/>
    <x v="0"/>
    <x v="1"/>
    <x v="0"/>
  </r>
  <r>
    <x v="246"/>
    <x v="104"/>
    <x v="245"/>
    <s v="E-M-1"/>
    <n v="3"/>
    <x v="245"/>
    <s v="jkopke7a@auda.org.au"/>
    <x v="0"/>
    <s v="Exc"/>
    <s v="M"/>
    <x v="0"/>
    <n v="13.75"/>
    <x v="1"/>
    <x v="1"/>
    <x v="0"/>
    <x v="1"/>
  </r>
  <r>
    <x v="247"/>
    <x v="225"/>
    <x v="246"/>
    <s v="L-M-2.5"/>
    <n v="4"/>
    <x v="246"/>
    <s v=""/>
    <x v="0"/>
    <s v="Lib"/>
    <s v="M"/>
    <x v="2"/>
    <n v="33.464999999999996"/>
    <x v="136"/>
    <x v="3"/>
    <x v="0"/>
    <x v="1"/>
  </r>
  <r>
    <x v="248"/>
    <x v="226"/>
    <x v="247"/>
    <s v="R-L-1"/>
    <n v="5"/>
    <x v="247"/>
    <s v=""/>
    <x v="1"/>
    <s v="Rob"/>
    <s v="L"/>
    <x v="0"/>
    <n v="11.95"/>
    <x v="143"/>
    <x v="0"/>
    <x v="1"/>
    <x v="0"/>
  </r>
  <r>
    <x v="249"/>
    <x v="227"/>
    <x v="248"/>
    <s v="A-D-0.5"/>
    <n v="1"/>
    <x v="248"/>
    <s v="vhellmore7d@bbc.co.uk"/>
    <x v="0"/>
    <s v="Ara"/>
    <s v="D"/>
    <x v="1"/>
    <n v="5.97"/>
    <x v="9"/>
    <x v="2"/>
    <x v="2"/>
    <x v="0"/>
  </r>
  <r>
    <x v="250"/>
    <x v="180"/>
    <x v="249"/>
    <s v="E-D-1"/>
    <n v="2"/>
    <x v="249"/>
    <s v="mseawright7e@nbcnews.com"/>
    <x v="2"/>
    <s v="Exc"/>
    <s v="D"/>
    <x v="0"/>
    <n v="12.15"/>
    <x v="76"/>
    <x v="1"/>
    <x v="2"/>
    <x v="1"/>
  </r>
  <r>
    <x v="251"/>
    <x v="228"/>
    <x v="250"/>
    <s v="E-D-0.2"/>
    <n v="6"/>
    <x v="250"/>
    <s v="snortheast7f@mashable.com"/>
    <x v="0"/>
    <s v="Exc"/>
    <s v="D"/>
    <x v="3"/>
    <n v="3.645"/>
    <x v="6"/>
    <x v="1"/>
    <x v="2"/>
    <x v="0"/>
  </r>
  <r>
    <x v="252"/>
    <x v="229"/>
    <x v="195"/>
    <s v="A-D-1"/>
    <n v="2"/>
    <x v="28"/>
    <s v="aattwater5u@wikia.com"/>
    <x v="0"/>
    <s v="Ara"/>
    <s v="D"/>
    <x v="0"/>
    <n v="9.9499999999999993"/>
    <x v="0"/>
    <x v="2"/>
    <x v="2"/>
    <x v="0"/>
  </r>
  <r>
    <x v="253"/>
    <x v="230"/>
    <x v="251"/>
    <s v="A-D-0.2"/>
    <n v="2"/>
    <x v="251"/>
    <s v="mfearon7h@reverbnation.com"/>
    <x v="0"/>
    <s v="Ara"/>
    <s v="D"/>
    <x v="3"/>
    <n v="2.9849999999999999"/>
    <x v="9"/>
    <x v="2"/>
    <x v="2"/>
    <x v="1"/>
  </r>
  <r>
    <x v="254"/>
    <x v="231"/>
    <x v="252"/>
    <s v="E-D-0.5"/>
    <n v="1"/>
    <x v="252"/>
    <s v=""/>
    <x v="1"/>
    <s v="Exc"/>
    <s v="D"/>
    <x v="1"/>
    <n v="7.29"/>
    <x v="35"/>
    <x v="1"/>
    <x v="2"/>
    <x v="0"/>
  </r>
  <r>
    <x v="255"/>
    <x v="80"/>
    <x v="253"/>
    <s v="A-D-0.2"/>
    <n v="4"/>
    <x v="253"/>
    <s v="jsisneros7j@a8.net"/>
    <x v="0"/>
    <s v="Ara"/>
    <s v="D"/>
    <x v="3"/>
    <n v="2.9849999999999999"/>
    <x v="22"/>
    <x v="2"/>
    <x v="2"/>
    <x v="0"/>
  </r>
  <r>
    <x v="256"/>
    <x v="232"/>
    <x v="254"/>
    <s v="R-L-1"/>
    <n v="6"/>
    <x v="254"/>
    <s v="zcarlson7k@bigcartel.com"/>
    <x v="1"/>
    <s v="Rob"/>
    <s v="L"/>
    <x v="0"/>
    <n v="11.95"/>
    <x v="144"/>
    <x v="0"/>
    <x v="1"/>
    <x v="0"/>
  </r>
  <r>
    <x v="257"/>
    <x v="233"/>
    <x v="255"/>
    <s v="A-L-0.2"/>
    <n v="2"/>
    <x v="255"/>
    <s v="wmaddox7l@timesonline.co.uk"/>
    <x v="0"/>
    <s v="Ara"/>
    <s v="L"/>
    <x v="3"/>
    <n v="3.8849999999999998"/>
    <x v="41"/>
    <x v="2"/>
    <x v="1"/>
    <x v="1"/>
  </r>
  <r>
    <x v="258"/>
    <x v="234"/>
    <x v="256"/>
    <s v="A-M-2.5"/>
    <n v="1"/>
    <x v="256"/>
    <s v="dhedlestone7m@craigslist.org"/>
    <x v="0"/>
    <s v="Ara"/>
    <s v="M"/>
    <x v="2"/>
    <n v="25.874999999999996"/>
    <x v="145"/>
    <x v="2"/>
    <x v="0"/>
    <x v="1"/>
  </r>
  <r>
    <x v="259"/>
    <x v="235"/>
    <x v="257"/>
    <s v="E-L-2.5"/>
    <n v="6"/>
    <x v="257"/>
    <s v="tcrowthe7n@europa.eu"/>
    <x v="0"/>
    <s v="Exc"/>
    <s v="L"/>
    <x v="2"/>
    <n v="34.154999999999994"/>
    <x v="106"/>
    <x v="1"/>
    <x v="1"/>
    <x v="1"/>
  </r>
  <r>
    <x v="260"/>
    <x v="236"/>
    <x v="258"/>
    <s v="R-L-2.5"/>
    <n v="4"/>
    <x v="258"/>
    <s v="dbury7o@tinyurl.com"/>
    <x v="1"/>
    <s v="Rob"/>
    <s v="L"/>
    <x v="2"/>
    <n v="27.484999999999996"/>
    <x v="108"/>
    <x v="0"/>
    <x v="1"/>
    <x v="0"/>
  </r>
  <r>
    <x v="261"/>
    <x v="237"/>
    <x v="259"/>
    <s v="E-L-1"/>
    <n v="6"/>
    <x v="259"/>
    <s v="gbroadbear7p@omniture.com"/>
    <x v="0"/>
    <s v="Exc"/>
    <s v="L"/>
    <x v="0"/>
    <n v="14.85"/>
    <x v="146"/>
    <x v="1"/>
    <x v="1"/>
    <x v="1"/>
  </r>
  <r>
    <x v="262"/>
    <x v="238"/>
    <x v="260"/>
    <s v="A-L-0.2"/>
    <n v="2"/>
    <x v="260"/>
    <s v="epalfrey7q@devhub.com"/>
    <x v="0"/>
    <s v="Ara"/>
    <s v="L"/>
    <x v="3"/>
    <n v="3.8849999999999998"/>
    <x v="41"/>
    <x v="2"/>
    <x v="1"/>
    <x v="0"/>
  </r>
  <r>
    <x v="263"/>
    <x v="52"/>
    <x v="261"/>
    <s v="L-M-2.5"/>
    <n v="1"/>
    <x v="261"/>
    <s v="pmetrick7r@rakuten.co.jp"/>
    <x v="0"/>
    <s v="Lib"/>
    <s v="M"/>
    <x v="2"/>
    <n v="33.464999999999996"/>
    <x v="116"/>
    <x v="3"/>
    <x v="0"/>
    <x v="0"/>
  </r>
  <r>
    <x v="264"/>
    <x v="146"/>
    <x v="262"/>
    <s v="E-M-0.5"/>
    <n v="5"/>
    <x v="262"/>
    <s v=""/>
    <x v="0"/>
    <s v="Exc"/>
    <s v="M"/>
    <x v="1"/>
    <n v="8.25"/>
    <x v="1"/>
    <x v="1"/>
    <x v="0"/>
    <x v="0"/>
  </r>
  <r>
    <x v="265"/>
    <x v="239"/>
    <x v="263"/>
    <s v="E-L-1"/>
    <n v="4"/>
    <x v="263"/>
    <s v="kkarby7t@sbwire.com"/>
    <x v="0"/>
    <s v="Exc"/>
    <s v="L"/>
    <x v="0"/>
    <n v="14.85"/>
    <x v="48"/>
    <x v="1"/>
    <x v="1"/>
    <x v="0"/>
  </r>
  <r>
    <x v="266"/>
    <x v="240"/>
    <x v="264"/>
    <s v="A-L-0.5"/>
    <n v="1"/>
    <x v="264"/>
    <s v="fcrumpe7u@ftc.gov"/>
    <x v="2"/>
    <s v="Ara"/>
    <s v="L"/>
    <x v="1"/>
    <n v="7.77"/>
    <x v="41"/>
    <x v="2"/>
    <x v="1"/>
    <x v="1"/>
  </r>
  <r>
    <x v="267"/>
    <x v="241"/>
    <x v="265"/>
    <s v="R-D-0.5"/>
    <n v="1"/>
    <x v="265"/>
    <s v="achatto7v@sakura.ne.jp"/>
    <x v="2"/>
    <s v="Rob"/>
    <s v="D"/>
    <x v="1"/>
    <n v="5.3699999999999992"/>
    <x v="147"/>
    <x v="0"/>
    <x v="2"/>
    <x v="0"/>
  </r>
  <r>
    <x v="268"/>
    <x v="242"/>
    <x v="266"/>
    <s v="E-M-2.5"/>
    <n v="3"/>
    <x v="266"/>
    <s v=""/>
    <x v="0"/>
    <s v="Exc"/>
    <s v="M"/>
    <x v="2"/>
    <n v="31.624999999999996"/>
    <x v="88"/>
    <x v="1"/>
    <x v="0"/>
    <x v="1"/>
  </r>
  <r>
    <x v="269"/>
    <x v="243"/>
    <x v="267"/>
    <s v="L-L-2.5"/>
    <n v="1"/>
    <x v="267"/>
    <s v=""/>
    <x v="0"/>
    <s v="Lib"/>
    <s v="L"/>
    <x v="2"/>
    <n v="36.454999999999998"/>
    <x v="133"/>
    <x v="3"/>
    <x v="1"/>
    <x v="1"/>
  </r>
  <r>
    <x v="270"/>
    <x v="244"/>
    <x v="268"/>
    <s v="A-M-0.2"/>
    <n v="4"/>
    <x v="268"/>
    <s v="bmergue7y@umn.edu"/>
    <x v="0"/>
    <s v="Ara"/>
    <s v="M"/>
    <x v="3"/>
    <n v="3.375"/>
    <x v="72"/>
    <x v="2"/>
    <x v="0"/>
    <x v="0"/>
  </r>
  <r>
    <x v="271"/>
    <x v="245"/>
    <x v="269"/>
    <s v="R-L-0.2"/>
    <n v="4"/>
    <x v="269"/>
    <s v="kpatise7z@jigsy.com"/>
    <x v="0"/>
    <s v="Rob"/>
    <s v="L"/>
    <x v="3"/>
    <n v="3.5849999999999995"/>
    <x v="79"/>
    <x v="0"/>
    <x v="1"/>
    <x v="1"/>
  </r>
  <r>
    <x v="272"/>
    <x v="246"/>
    <x v="270"/>
    <s v="E-M-0.5"/>
    <n v="1"/>
    <x v="270"/>
    <s v=""/>
    <x v="1"/>
    <s v="Exc"/>
    <s v="M"/>
    <x v="1"/>
    <n v="8.25"/>
    <x v="112"/>
    <x v="1"/>
    <x v="0"/>
    <x v="0"/>
  </r>
  <r>
    <x v="273"/>
    <x v="247"/>
    <x v="271"/>
    <s v="R-D-0.2"/>
    <n v="5"/>
    <x v="271"/>
    <s v=""/>
    <x v="0"/>
    <s v="Rob"/>
    <s v="D"/>
    <x v="3"/>
    <n v="2.6849999999999996"/>
    <x v="148"/>
    <x v="0"/>
    <x v="2"/>
    <x v="0"/>
  </r>
  <r>
    <x v="274"/>
    <x v="248"/>
    <x v="272"/>
    <s v="A-D-1"/>
    <n v="5"/>
    <x v="272"/>
    <s v="dduke82@vkontakte.ru"/>
    <x v="0"/>
    <s v="Ara"/>
    <s v="D"/>
    <x v="0"/>
    <n v="9.9499999999999993"/>
    <x v="12"/>
    <x v="2"/>
    <x v="2"/>
    <x v="1"/>
  </r>
  <r>
    <x v="275"/>
    <x v="249"/>
    <x v="273"/>
    <s v="E-M-0.5"/>
    <n v="2"/>
    <x v="273"/>
    <s v=""/>
    <x v="1"/>
    <s v="Exc"/>
    <s v="M"/>
    <x v="1"/>
    <n v="8.25"/>
    <x v="38"/>
    <x v="1"/>
    <x v="0"/>
    <x v="1"/>
  </r>
  <r>
    <x v="276"/>
    <x v="250"/>
    <x v="274"/>
    <s v="A-D-0.5"/>
    <n v="3"/>
    <x v="274"/>
    <s v="ihussey84@mapy.cz"/>
    <x v="0"/>
    <s v="Ara"/>
    <s v="D"/>
    <x v="1"/>
    <n v="5.97"/>
    <x v="8"/>
    <x v="2"/>
    <x v="2"/>
    <x v="1"/>
  </r>
  <r>
    <x v="277"/>
    <x v="251"/>
    <x v="275"/>
    <s v="A-D-0.5"/>
    <n v="5"/>
    <x v="275"/>
    <s v="cpinkerton85@upenn.edu"/>
    <x v="0"/>
    <s v="Ara"/>
    <s v="D"/>
    <x v="1"/>
    <n v="5.97"/>
    <x v="44"/>
    <x v="2"/>
    <x v="2"/>
    <x v="1"/>
  </r>
  <r>
    <x v="278"/>
    <x v="177"/>
    <x v="276"/>
    <s v="E-L-1"/>
    <n v="3"/>
    <x v="276"/>
    <s v=""/>
    <x v="0"/>
    <s v="Exc"/>
    <s v="L"/>
    <x v="0"/>
    <n v="14.85"/>
    <x v="69"/>
    <x v="1"/>
    <x v="1"/>
    <x v="1"/>
  </r>
  <r>
    <x v="279"/>
    <x v="252"/>
    <x v="277"/>
    <s v="E-M-1"/>
    <n v="2"/>
    <x v="277"/>
    <s v=""/>
    <x v="0"/>
    <s v="Exc"/>
    <s v="M"/>
    <x v="0"/>
    <n v="13.75"/>
    <x v="3"/>
    <x v="1"/>
    <x v="0"/>
    <x v="1"/>
  </r>
  <r>
    <x v="280"/>
    <x v="253"/>
    <x v="278"/>
    <s v="R-M-0.5"/>
    <n v="6"/>
    <x v="278"/>
    <s v="dvizor88@furl.net"/>
    <x v="0"/>
    <s v="Rob"/>
    <s v="M"/>
    <x v="1"/>
    <n v="5.97"/>
    <x v="27"/>
    <x v="0"/>
    <x v="0"/>
    <x v="0"/>
  </r>
  <r>
    <x v="281"/>
    <x v="254"/>
    <x v="279"/>
    <s v="R-D-0.5"/>
    <n v="3"/>
    <x v="279"/>
    <s v="esedgebeer89@oaic.gov.au"/>
    <x v="0"/>
    <s v="Rob"/>
    <s v="D"/>
    <x v="1"/>
    <n v="5.3699999999999992"/>
    <x v="103"/>
    <x v="0"/>
    <x v="2"/>
    <x v="0"/>
  </r>
  <r>
    <x v="282"/>
    <x v="227"/>
    <x v="280"/>
    <s v="E-L-0.2"/>
    <n v="6"/>
    <x v="280"/>
    <s v="klestrange8a@lulu.com"/>
    <x v="0"/>
    <s v="Exc"/>
    <s v="L"/>
    <x v="3"/>
    <n v="4.4550000000000001"/>
    <x v="149"/>
    <x v="1"/>
    <x v="1"/>
    <x v="0"/>
  </r>
  <r>
    <x v="283"/>
    <x v="110"/>
    <x v="281"/>
    <s v="E-L-2.5"/>
    <n v="6"/>
    <x v="281"/>
    <s v="ltanti8b@techcrunch.com"/>
    <x v="0"/>
    <s v="Exc"/>
    <s v="L"/>
    <x v="2"/>
    <n v="34.154999999999994"/>
    <x v="106"/>
    <x v="1"/>
    <x v="1"/>
    <x v="0"/>
  </r>
  <r>
    <x v="284"/>
    <x v="182"/>
    <x v="282"/>
    <s v="A-L-1"/>
    <n v="3"/>
    <x v="282"/>
    <s v="ade8c@1und1.de"/>
    <x v="0"/>
    <s v="Ara"/>
    <s v="L"/>
    <x v="0"/>
    <n v="12.95"/>
    <x v="5"/>
    <x v="2"/>
    <x v="1"/>
    <x v="0"/>
  </r>
  <r>
    <x v="285"/>
    <x v="255"/>
    <x v="283"/>
    <s v="L-D-0.2"/>
    <n v="4"/>
    <x v="283"/>
    <s v="tjedrachowicz8d@acquirethisname.com"/>
    <x v="0"/>
    <s v="Lib"/>
    <s v="D"/>
    <x v="3"/>
    <n v="3.8849999999999998"/>
    <x v="42"/>
    <x v="3"/>
    <x v="2"/>
    <x v="0"/>
  </r>
  <r>
    <x v="286"/>
    <x v="256"/>
    <x v="284"/>
    <s v="A-M-0.5"/>
    <n v="1"/>
    <x v="284"/>
    <s v="pstonner8e@moonfruit.com"/>
    <x v="0"/>
    <s v="Ara"/>
    <s v="M"/>
    <x v="1"/>
    <n v="6.75"/>
    <x v="52"/>
    <x v="2"/>
    <x v="0"/>
    <x v="1"/>
  </r>
  <r>
    <x v="287"/>
    <x v="3"/>
    <x v="285"/>
    <s v="E-D-2.5"/>
    <n v="4"/>
    <x v="285"/>
    <s v="dtingly8f@goo.ne.jp"/>
    <x v="0"/>
    <s v="Exc"/>
    <s v="D"/>
    <x v="2"/>
    <n v="27.945"/>
    <x v="150"/>
    <x v="1"/>
    <x v="2"/>
    <x v="0"/>
  </r>
  <r>
    <x v="288"/>
    <x v="257"/>
    <x v="286"/>
    <s v="A-L-0.2"/>
    <n v="1"/>
    <x v="286"/>
    <s v="crushe8n@about.me"/>
    <x v="0"/>
    <s v="Ara"/>
    <s v="L"/>
    <x v="3"/>
    <n v="3.8849999999999998"/>
    <x v="84"/>
    <x v="2"/>
    <x v="1"/>
    <x v="0"/>
  </r>
  <r>
    <x v="289"/>
    <x v="258"/>
    <x v="287"/>
    <s v="L-M-0.2"/>
    <n v="5"/>
    <x v="287"/>
    <s v="bchecci8h@usa.gov"/>
    <x v="2"/>
    <s v="Lib"/>
    <s v="M"/>
    <x v="3"/>
    <n v="4.3650000000000002"/>
    <x v="26"/>
    <x v="3"/>
    <x v="0"/>
    <x v="1"/>
  </r>
  <r>
    <x v="290"/>
    <x v="259"/>
    <x v="288"/>
    <s v="R-M-0.2"/>
    <n v="5"/>
    <x v="288"/>
    <s v="jbagot8i@mac.com"/>
    <x v="0"/>
    <s v="Rob"/>
    <s v="M"/>
    <x v="3"/>
    <n v="2.9849999999999999"/>
    <x v="128"/>
    <x v="0"/>
    <x v="0"/>
    <x v="1"/>
  </r>
  <r>
    <x v="291"/>
    <x v="260"/>
    <x v="289"/>
    <s v="A-M-1"/>
    <n v="3"/>
    <x v="289"/>
    <s v="ebeeble8j@soundcloud.com"/>
    <x v="0"/>
    <s v="Ara"/>
    <s v="M"/>
    <x v="0"/>
    <n v="11.25"/>
    <x v="65"/>
    <x v="2"/>
    <x v="0"/>
    <x v="0"/>
  </r>
  <r>
    <x v="292"/>
    <x v="261"/>
    <x v="290"/>
    <s v="A-M-1"/>
    <n v="3"/>
    <x v="290"/>
    <s v="cfluin8k@flickr.com"/>
    <x v="2"/>
    <s v="Ara"/>
    <s v="M"/>
    <x v="0"/>
    <n v="11.25"/>
    <x v="65"/>
    <x v="2"/>
    <x v="0"/>
    <x v="1"/>
  </r>
  <r>
    <x v="293"/>
    <x v="262"/>
    <x v="291"/>
    <s v="L-M-0.2"/>
    <n v="6"/>
    <x v="291"/>
    <s v="ebletsor8l@vinaora.com"/>
    <x v="0"/>
    <s v="Lib"/>
    <s v="M"/>
    <x v="3"/>
    <n v="4.3650000000000002"/>
    <x v="50"/>
    <x v="3"/>
    <x v="0"/>
    <x v="0"/>
  </r>
  <r>
    <x v="294"/>
    <x v="263"/>
    <x v="292"/>
    <s v="E-L-1"/>
    <n v="1"/>
    <x v="292"/>
    <s v="pbrydell8m@bloglovin.com"/>
    <x v="1"/>
    <s v="Exc"/>
    <s v="L"/>
    <x v="0"/>
    <n v="14.85"/>
    <x v="151"/>
    <x v="1"/>
    <x v="1"/>
    <x v="1"/>
  </r>
  <r>
    <x v="295"/>
    <x v="212"/>
    <x v="286"/>
    <s v="E-M-2.5"/>
    <n v="6"/>
    <x v="286"/>
    <s v="crushe8n@about.me"/>
    <x v="0"/>
    <s v="Exc"/>
    <s v="M"/>
    <x v="2"/>
    <n v="31.624999999999996"/>
    <x v="152"/>
    <x v="1"/>
    <x v="0"/>
    <x v="0"/>
  </r>
  <r>
    <x v="296"/>
    <x v="187"/>
    <x v="293"/>
    <s v="R-M-0.5"/>
    <n v="1"/>
    <x v="293"/>
    <s v="nleethem8o@mac.com"/>
    <x v="0"/>
    <s v="Rob"/>
    <s v="M"/>
    <x v="1"/>
    <n v="5.97"/>
    <x v="9"/>
    <x v="0"/>
    <x v="0"/>
    <x v="0"/>
  </r>
  <r>
    <x v="297"/>
    <x v="248"/>
    <x v="294"/>
    <s v="R-M-1"/>
    <n v="3"/>
    <x v="294"/>
    <s v="anesfield8p@people.com.cn"/>
    <x v="2"/>
    <s v="Rob"/>
    <s v="M"/>
    <x v="0"/>
    <n v="9.9499999999999993"/>
    <x v="44"/>
    <x v="0"/>
    <x v="0"/>
    <x v="0"/>
  </r>
  <r>
    <x v="298"/>
    <x v="264"/>
    <x v="295"/>
    <s v="R-D-1"/>
    <n v="5"/>
    <x v="295"/>
    <s v=""/>
    <x v="0"/>
    <s v="Rob"/>
    <s v="D"/>
    <x v="0"/>
    <n v="8.9499999999999993"/>
    <x v="153"/>
    <x v="0"/>
    <x v="2"/>
    <x v="1"/>
  </r>
  <r>
    <x v="299"/>
    <x v="265"/>
    <x v="296"/>
    <s v="E-L-2.5"/>
    <n v="1"/>
    <x v="296"/>
    <s v="mbrockway8r@ibm.com"/>
    <x v="0"/>
    <s v="Exc"/>
    <s v="L"/>
    <x v="2"/>
    <n v="34.154999999999994"/>
    <x v="107"/>
    <x v="1"/>
    <x v="1"/>
    <x v="0"/>
  </r>
  <r>
    <x v="300"/>
    <x v="266"/>
    <x v="297"/>
    <s v="E-L-2.5"/>
    <n v="6"/>
    <x v="297"/>
    <s v="nlush8s@dedecms.com"/>
    <x v="1"/>
    <s v="Exc"/>
    <s v="L"/>
    <x v="2"/>
    <n v="34.154999999999994"/>
    <x v="106"/>
    <x v="1"/>
    <x v="1"/>
    <x v="1"/>
  </r>
  <r>
    <x v="301"/>
    <x v="267"/>
    <x v="298"/>
    <s v="E-D-0.5"/>
    <n v="3"/>
    <x v="298"/>
    <s v="smcmillian8t@csmonitor.com"/>
    <x v="0"/>
    <s v="Exc"/>
    <s v="D"/>
    <x v="1"/>
    <n v="7.29"/>
    <x v="6"/>
    <x v="1"/>
    <x v="2"/>
    <x v="1"/>
  </r>
  <r>
    <x v="302"/>
    <x v="204"/>
    <x v="299"/>
    <s v="A-M-2.5"/>
    <n v="2"/>
    <x v="299"/>
    <s v="tbennison8u@google.cn"/>
    <x v="0"/>
    <s v="Ara"/>
    <s v="M"/>
    <x v="2"/>
    <n v="25.874999999999996"/>
    <x v="95"/>
    <x v="2"/>
    <x v="0"/>
    <x v="0"/>
  </r>
  <r>
    <x v="303"/>
    <x v="268"/>
    <x v="300"/>
    <s v="E-M-0.2"/>
    <n v="2"/>
    <x v="300"/>
    <s v="gtweed8v@yolasite.com"/>
    <x v="0"/>
    <s v="Exc"/>
    <s v="M"/>
    <x v="3"/>
    <n v="4.125"/>
    <x v="112"/>
    <x v="1"/>
    <x v="0"/>
    <x v="0"/>
  </r>
  <r>
    <x v="303"/>
    <x v="268"/>
    <x v="300"/>
    <s v="A-L-0.2"/>
    <n v="5"/>
    <x v="300"/>
    <s v="gtweed8v@yolasite.com"/>
    <x v="0"/>
    <s v="Ara"/>
    <s v="L"/>
    <x v="3"/>
    <n v="3.8849999999999998"/>
    <x v="117"/>
    <x v="2"/>
    <x v="1"/>
    <x v="0"/>
  </r>
  <r>
    <x v="304"/>
    <x v="269"/>
    <x v="301"/>
    <s v="A-M-0.2"/>
    <n v="6"/>
    <x v="301"/>
    <s v="ggoggin8x@wix.com"/>
    <x v="1"/>
    <s v="Ara"/>
    <s v="M"/>
    <x v="3"/>
    <n v="3.375"/>
    <x v="16"/>
    <x v="2"/>
    <x v="0"/>
    <x v="0"/>
  </r>
  <r>
    <x v="305"/>
    <x v="145"/>
    <x v="302"/>
    <s v="L-D-0.5"/>
    <n v="3"/>
    <x v="302"/>
    <s v="sjeyness8y@biglobe.ne.jp"/>
    <x v="1"/>
    <s v="Lib"/>
    <s v="D"/>
    <x v="1"/>
    <n v="7.77"/>
    <x v="102"/>
    <x v="3"/>
    <x v="2"/>
    <x v="1"/>
  </r>
  <r>
    <x v="306"/>
    <x v="270"/>
    <x v="303"/>
    <s v="E-D-0.2"/>
    <n v="5"/>
    <x v="303"/>
    <s v="dbonhome8z@shinystat.com"/>
    <x v="0"/>
    <s v="Exc"/>
    <s v="D"/>
    <x v="3"/>
    <n v="3.645"/>
    <x v="94"/>
    <x v="1"/>
    <x v="2"/>
    <x v="0"/>
  </r>
  <r>
    <x v="307"/>
    <x v="271"/>
    <x v="304"/>
    <s v="E-M-1"/>
    <n v="1"/>
    <x v="304"/>
    <s v=""/>
    <x v="0"/>
    <s v="Exc"/>
    <s v="M"/>
    <x v="0"/>
    <n v="13.75"/>
    <x v="154"/>
    <x v="1"/>
    <x v="0"/>
    <x v="1"/>
  </r>
  <r>
    <x v="308"/>
    <x v="272"/>
    <x v="305"/>
    <s v="A-L-2.5"/>
    <n v="1"/>
    <x v="305"/>
    <s v="tle91@epa.gov"/>
    <x v="0"/>
    <s v="Ara"/>
    <s v="L"/>
    <x v="2"/>
    <n v="29.784999999999997"/>
    <x v="91"/>
    <x v="2"/>
    <x v="1"/>
    <x v="0"/>
  </r>
  <r>
    <x v="309"/>
    <x v="252"/>
    <x v="306"/>
    <s v="R-D-1"/>
    <n v="5"/>
    <x v="306"/>
    <s v=""/>
    <x v="0"/>
    <s v="Rob"/>
    <s v="D"/>
    <x v="0"/>
    <n v="8.9499999999999993"/>
    <x v="153"/>
    <x v="0"/>
    <x v="2"/>
    <x v="1"/>
  </r>
  <r>
    <x v="310"/>
    <x v="273"/>
    <x v="307"/>
    <s v="R-D-1"/>
    <n v="5"/>
    <x v="307"/>
    <s v="balldridge93@yandex.ru"/>
    <x v="0"/>
    <s v="Rob"/>
    <s v="D"/>
    <x v="0"/>
    <n v="8.9499999999999993"/>
    <x v="153"/>
    <x v="0"/>
    <x v="2"/>
    <x v="0"/>
  </r>
  <r>
    <x v="311"/>
    <x v="274"/>
    <x v="308"/>
    <s v="L-L-0.5"/>
    <n v="4"/>
    <x v="308"/>
    <s v=""/>
    <x v="0"/>
    <s v="Lib"/>
    <s v="L"/>
    <x v="1"/>
    <n v="9.51"/>
    <x v="82"/>
    <x v="3"/>
    <x v="1"/>
    <x v="0"/>
  </r>
  <r>
    <x v="312"/>
    <x v="275"/>
    <x v="309"/>
    <s v="R-D-0.5"/>
    <n v="4"/>
    <x v="309"/>
    <s v="lgoodger95@guardian.co.uk"/>
    <x v="0"/>
    <s v="Rob"/>
    <s v="D"/>
    <x v="1"/>
    <n v="5.3699999999999992"/>
    <x v="155"/>
    <x v="0"/>
    <x v="2"/>
    <x v="0"/>
  </r>
  <r>
    <x v="313"/>
    <x v="276"/>
    <x v="298"/>
    <s v="R-D-0.5"/>
    <n v="3"/>
    <x v="28"/>
    <s v="smcmillian8t@csmonitor.com"/>
    <x v="0"/>
    <s v="Rob"/>
    <s v="D"/>
    <x v="1"/>
    <n v="5.3699999999999992"/>
    <x v="103"/>
    <x v="0"/>
    <x v="2"/>
    <x v="1"/>
  </r>
  <r>
    <x v="314"/>
    <x v="277"/>
    <x v="310"/>
    <s v="R-M-2.5"/>
    <n v="1"/>
    <x v="310"/>
    <s v="cdrewett97@wikipedia.org"/>
    <x v="0"/>
    <s v="Rob"/>
    <s v="M"/>
    <x v="2"/>
    <n v="22.884999999999998"/>
    <x v="156"/>
    <x v="0"/>
    <x v="0"/>
    <x v="0"/>
  </r>
  <r>
    <x v="315"/>
    <x v="278"/>
    <x v="311"/>
    <s v="A-D-0.5"/>
    <n v="3"/>
    <x v="311"/>
    <s v="qparsons98@blogtalkradio.com"/>
    <x v="0"/>
    <s v="Ara"/>
    <s v="D"/>
    <x v="1"/>
    <n v="5.97"/>
    <x v="8"/>
    <x v="2"/>
    <x v="2"/>
    <x v="0"/>
  </r>
  <r>
    <x v="316"/>
    <x v="279"/>
    <x v="312"/>
    <s v="R-M-0.5"/>
    <n v="4"/>
    <x v="312"/>
    <s v="vceely99@auda.org.au"/>
    <x v="0"/>
    <s v="Rob"/>
    <s v="M"/>
    <x v="1"/>
    <n v="5.97"/>
    <x v="86"/>
    <x v="0"/>
    <x v="0"/>
    <x v="0"/>
  </r>
  <r>
    <x v="317"/>
    <x v="280"/>
    <x v="313"/>
    <s v="R-L-1"/>
    <n v="5"/>
    <x v="313"/>
    <s v=""/>
    <x v="0"/>
    <s v="Rob"/>
    <s v="L"/>
    <x v="0"/>
    <n v="11.95"/>
    <x v="143"/>
    <x v="0"/>
    <x v="1"/>
    <x v="1"/>
  </r>
  <r>
    <x v="318"/>
    <x v="281"/>
    <x v="314"/>
    <s v="L-L-0.2"/>
    <n v="6"/>
    <x v="314"/>
    <s v="cvasiliev9b@discuz.net"/>
    <x v="0"/>
    <s v="Lib"/>
    <s v="L"/>
    <x v="3"/>
    <n v="4.7549999999999999"/>
    <x v="32"/>
    <x v="3"/>
    <x v="1"/>
    <x v="0"/>
  </r>
  <r>
    <x v="319"/>
    <x v="282"/>
    <x v="315"/>
    <s v="A-M-1"/>
    <n v="4"/>
    <x v="315"/>
    <s v="tomoylan9c@liveinternet.ru"/>
    <x v="2"/>
    <s v="Ara"/>
    <s v="M"/>
    <x v="0"/>
    <n v="11.25"/>
    <x v="157"/>
    <x v="2"/>
    <x v="0"/>
    <x v="1"/>
  </r>
  <r>
    <x v="320"/>
    <x v="283"/>
    <x v="306"/>
    <s v="E-D-2.5"/>
    <n v="2"/>
    <x v="28"/>
    <s v=""/>
    <x v="0"/>
    <s v="Exc"/>
    <s v="D"/>
    <x v="2"/>
    <n v="27.945"/>
    <x v="158"/>
    <x v="1"/>
    <x v="2"/>
    <x v="1"/>
  </r>
  <r>
    <x v="321"/>
    <x v="284"/>
    <x v="316"/>
    <s v="E-L-1"/>
    <n v="4"/>
    <x v="316"/>
    <s v="wfetherston9e@constantcontact.com"/>
    <x v="0"/>
    <s v="Exc"/>
    <s v="L"/>
    <x v="0"/>
    <n v="14.85"/>
    <x v="48"/>
    <x v="1"/>
    <x v="1"/>
    <x v="1"/>
  </r>
  <r>
    <x v="322"/>
    <x v="285"/>
    <x v="317"/>
    <s v="E-D-0.2"/>
    <n v="2"/>
    <x v="317"/>
    <s v="erasmus9f@techcrunch.com"/>
    <x v="0"/>
    <s v="Exc"/>
    <s v="D"/>
    <x v="3"/>
    <n v="3.645"/>
    <x v="35"/>
    <x v="1"/>
    <x v="2"/>
    <x v="0"/>
  </r>
  <r>
    <x v="323"/>
    <x v="286"/>
    <x v="318"/>
    <s v="E-D-0.5"/>
    <n v="1"/>
    <x v="318"/>
    <s v="wgiorgioni9g@wikipedia.org"/>
    <x v="0"/>
    <s v="Exc"/>
    <s v="D"/>
    <x v="1"/>
    <n v="7.29"/>
    <x v="35"/>
    <x v="1"/>
    <x v="2"/>
    <x v="0"/>
  </r>
  <r>
    <x v="324"/>
    <x v="287"/>
    <x v="319"/>
    <s v="E-L-0.5"/>
    <n v="2"/>
    <x v="319"/>
    <s v="lscargle9h@myspace.com"/>
    <x v="0"/>
    <s v="Exc"/>
    <s v="L"/>
    <x v="1"/>
    <n v="8.91"/>
    <x v="58"/>
    <x v="1"/>
    <x v="1"/>
    <x v="1"/>
  </r>
  <r>
    <x v="324"/>
    <x v="287"/>
    <x v="319"/>
    <s v="L-D-0.5"/>
    <n v="5"/>
    <x v="319"/>
    <s v="lscargle9h@myspace.com"/>
    <x v="0"/>
    <s v="Lib"/>
    <s v="D"/>
    <x v="1"/>
    <n v="7.77"/>
    <x v="5"/>
    <x v="3"/>
    <x v="2"/>
    <x v="1"/>
  </r>
  <r>
    <x v="325"/>
    <x v="288"/>
    <x v="320"/>
    <s v="R-D-0.5"/>
    <n v="6"/>
    <x v="320"/>
    <s v="nclimance9j@europa.eu"/>
    <x v="0"/>
    <s v="Rob"/>
    <s v="D"/>
    <x v="1"/>
    <n v="5.3699999999999992"/>
    <x v="111"/>
    <x v="0"/>
    <x v="2"/>
    <x v="1"/>
  </r>
  <r>
    <x v="326"/>
    <x v="250"/>
    <x v="321"/>
    <s v="R-M-1"/>
    <n v="2"/>
    <x v="321"/>
    <s v=""/>
    <x v="1"/>
    <s v="Rob"/>
    <s v="M"/>
    <x v="0"/>
    <n v="9.9499999999999993"/>
    <x v="0"/>
    <x v="0"/>
    <x v="0"/>
    <x v="0"/>
  </r>
  <r>
    <x v="327"/>
    <x v="289"/>
    <x v="322"/>
    <s v="R-L-1"/>
    <n v="5"/>
    <x v="322"/>
    <s v="asnazle9l@oracle.com"/>
    <x v="0"/>
    <s v="Rob"/>
    <s v="L"/>
    <x v="0"/>
    <n v="11.95"/>
    <x v="143"/>
    <x v="0"/>
    <x v="1"/>
    <x v="1"/>
  </r>
  <r>
    <x v="328"/>
    <x v="290"/>
    <x v="323"/>
    <s v="A-L-0.5"/>
    <n v="3"/>
    <x v="323"/>
    <s v="rworg9m@arstechnica.com"/>
    <x v="0"/>
    <s v="Ara"/>
    <s v="L"/>
    <x v="1"/>
    <n v="7.77"/>
    <x v="102"/>
    <x v="2"/>
    <x v="1"/>
    <x v="0"/>
  </r>
  <r>
    <x v="329"/>
    <x v="291"/>
    <x v="324"/>
    <s v="L-M-1"/>
    <n v="3"/>
    <x v="324"/>
    <s v="ldanes9n@umn.edu"/>
    <x v="0"/>
    <s v="Lib"/>
    <s v="M"/>
    <x v="0"/>
    <n v="14.55"/>
    <x v="34"/>
    <x v="3"/>
    <x v="0"/>
    <x v="1"/>
  </r>
  <r>
    <x v="330"/>
    <x v="292"/>
    <x v="325"/>
    <s v="E-L-2.5"/>
    <n v="6"/>
    <x v="325"/>
    <s v="skeynd9o@narod.ru"/>
    <x v="0"/>
    <s v="Exc"/>
    <s v="L"/>
    <x v="2"/>
    <n v="34.154999999999994"/>
    <x v="106"/>
    <x v="1"/>
    <x v="1"/>
    <x v="1"/>
  </r>
  <r>
    <x v="331"/>
    <x v="293"/>
    <x v="326"/>
    <s v="R-L-0.2"/>
    <n v="4"/>
    <x v="326"/>
    <s v="ddaveridge9p@arstechnica.com"/>
    <x v="0"/>
    <s v="Rob"/>
    <s v="L"/>
    <x v="3"/>
    <n v="3.5849999999999995"/>
    <x v="79"/>
    <x v="0"/>
    <x v="1"/>
    <x v="1"/>
  </r>
  <r>
    <x v="332"/>
    <x v="294"/>
    <x v="327"/>
    <s v="A-D-0.5"/>
    <n v="4"/>
    <x v="327"/>
    <s v="jawdry9q@utexas.edu"/>
    <x v="0"/>
    <s v="Ara"/>
    <s v="D"/>
    <x v="1"/>
    <n v="5.97"/>
    <x v="86"/>
    <x v="2"/>
    <x v="2"/>
    <x v="1"/>
  </r>
  <r>
    <x v="333"/>
    <x v="295"/>
    <x v="328"/>
    <s v="A-M-1"/>
    <n v="2"/>
    <x v="328"/>
    <s v="eryles9r@fastcompany.com"/>
    <x v="0"/>
    <s v="Ara"/>
    <s v="M"/>
    <x v="0"/>
    <n v="11.25"/>
    <x v="122"/>
    <x v="2"/>
    <x v="0"/>
    <x v="1"/>
  </r>
  <r>
    <x v="334"/>
    <x v="296"/>
    <x v="306"/>
    <s v="E-D-0.5"/>
    <n v="5"/>
    <x v="28"/>
    <s v=""/>
    <x v="0"/>
    <s v="Exc"/>
    <s v="D"/>
    <x v="1"/>
    <n v="7.29"/>
    <x v="114"/>
    <x v="1"/>
    <x v="2"/>
    <x v="1"/>
  </r>
  <r>
    <x v="335"/>
    <x v="297"/>
    <x v="329"/>
    <s v="A-M-0.5"/>
    <n v="4"/>
    <x v="329"/>
    <s v=""/>
    <x v="0"/>
    <s v="Ara"/>
    <s v="M"/>
    <x v="1"/>
    <n v="6.75"/>
    <x v="25"/>
    <x v="2"/>
    <x v="0"/>
    <x v="0"/>
  </r>
  <r>
    <x v="336"/>
    <x v="298"/>
    <x v="330"/>
    <s v="A-M-2.5"/>
    <n v="6"/>
    <x v="330"/>
    <s v="jcaldicott9u@usda.gov"/>
    <x v="0"/>
    <s v="Ara"/>
    <s v="M"/>
    <x v="2"/>
    <n v="25.874999999999996"/>
    <x v="71"/>
    <x v="2"/>
    <x v="0"/>
    <x v="1"/>
  </r>
  <r>
    <x v="337"/>
    <x v="299"/>
    <x v="331"/>
    <s v="A-D-2.5"/>
    <n v="5"/>
    <x v="331"/>
    <s v="mvedmore9v@a8.net"/>
    <x v="0"/>
    <s v="Ara"/>
    <s v="D"/>
    <x v="2"/>
    <n v="22.884999999999998"/>
    <x v="15"/>
    <x v="2"/>
    <x v="2"/>
    <x v="0"/>
  </r>
  <r>
    <x v="338"/>
    <x v="300"/>
    <x v="332"/>
    <s v="L-D-1"/>
    <n v="4"/>
    <x v="332"/>
    <s v="wromao9w@chronoengine.com"/>
    <x v="0"/>
    <s v="Lib"/>
    <s v="D"/>
    <x v="0"/>
    <n v="12.95"/>
    <x v="67"/>
    <x v="3"/>
    <x v="2"/>
    <x v="0"/>
  </r>
  <r>
    <x v="339"/>
    <x v="301"/>
    <x v="333"/>
    <s v="A-M-2.5"/>
    <n v="6"/>
    <x v="333"/>
    <s v=""/>
    <x v="0"/>
    <s v="Ara"/>
    <s v="M"/>
    <x v="2"/>
    <n v="25.874999999999996"/>
    <x v="71"/>
    <x v="2"/>
    <x v="0"/>
    <x v="1"/>
  </r>
  <r>
    <x v="340"/>
    <x v="302"/>
    <x v="334"/>
    <s v="A-L-2.5"/>
    <n v="1"/>
    <x v="334"/>
    <s v="tcotmore9y@amazonaws.com"/>
    <x v="0"/>
    <s v="Ara"/>
    <s v="L"/>
    <x v="2"/>
    <n v="29.784999999999997"/>
    <x v="91"/>
    <x v="2"/>
    <x v="1"/>
    <x v="1"/>
  </r>
  <r>
    <x v="341"/>
    <x v="303"/>
    <x v="335"/>
    <s v="R-L-0.2"/>
    <n v="6"/>
    <x v="335"/>
    <s v="yskipsey9z@spotify.com"/>
    <x v="2"/>
    <s v="Rob"/>
    <s v="L"/>
    <x v="3"/>
    <n v="3.5849999999999995"/>
    <x v="137"/>
    <x v="0"/>
    <x v="1"/>
    <x v="1"/>
  </r>
  <r>
    <x v="342"/>
    <x v="304"/>
    <x v="336"/>
    <s v="R-D-2.5"/>
    <n v="2"/>
    <x v="336"/>
    <s v="ncorpsa0@gmpg.org"/>
    <x v="0"/>
    <s v="Rob"/>
    <s v="D"/>
    <x v="2"/>
    <n v="20.584999999999997"/>
    <x v="13"/>
    <x v="0"/>
    <x v="2"/>
    <x v="1"/>
  </r>
  <r>
    <x v="342"/>
    <x v="304"/>
    <x v="336"/>
    <s v="R-M-0.5"/>
    <n v="1"/>
    <x v="336"/>
    <s v="ncorpsa0@gmpg.org"/>
    <x v="0"/>
    <s v="Rob"/>
    <s v="M"/>
    <x v="1"/>
    <n v="5.97"/>
    <x v="9"/>
    <x v="0"/>
    <x v="0"/>
    <x v="1"/>
  </r>
  <r>
    <x v="343"/>
    <x v="305"/>
    <x v="337"/>
    <s v="E-L-1"/>
    <n v="5"/>
    <x v="337"/>
    <s v="fbabbera2@stanford.edu"/>
    <x v="0"/>
    <s v="Exc"/>
    <s v="L"/>
    <x v="0"/>
    <n v="14.85"/>
    <x v="159"/>
    <x v="1"/>
    <x v="1"/>
    <x v="0"/>
  </r>
  <r>
    <x v="344"/>
    <x v="196"/>
    <x v="338"/>
    <s v="L-M-1"/>
    <n v="6"/>
    <x v="338"/>
    <s v="kloxtona3@opensource.org"/>
    <x v="0"/>
    <s v="Lib"/>
    <s v="M"/>
    <x v="0"/>
    <n v="14.55"/>
    <x v="75"/>
    <x v="3"/>
    <x v="0"/>
    <x v="1"/>
  </r>
  <r>
    <x v="345"/>
    <x v="110"/>
    <x v="339"/>
    <s v="E-D-1"/>
    <n v="6"/>
    <x v="339"/>
    <s v="ptoffula4@posterous.com"/>
    <x v="0"/>
    <s v="Exc"/>
    <s v="D"/>
    <x v="0"/>
    <n v="12.15"/>
    <x v="118"/>
    <x v="1"/>
    <x v="2"/>
    <x v="0"/>
  </r>
  <r>
    <x v="346"/>
    <x v="24"/>
    <x v="340"/>
    <s v="L-D-0.5"/>
    <n v="1"/>
    <x v="340"/>
    <s v="cgwinnetta5@behance.net"/>
    <x v="0"/>
    <s v="Lib"/>
    <s v="D"/>
    <x v="1"/>
    <n v="7.77"/>
    <x v="41"/>
    <x v="3"/>
    <x v="2"/>
    <x v="1"/>
  </r>
  <r>
    <x v="347"/>
    <x v="306"/>
    <x v="341"/>
    <s v="E-D-0.5"/>
    <n v="6"/>
    <x v="341"/>
    <s v=""/>
    <x v="0"/>
    <s v="Exc"/>
    <s v="D"/>
    <x v="1"/>
    <n v="7.29"/>
    <x v="160"/>
    <x v="1"/>
    <x v="2"/>
    <x v="1"/>
  </r>
  <r>
    <x v="348"/>
    <x v="307"/>
    <x v="342"/>
    <s v="L-M-0.2"/>
    <n v="2"/>
    <x v="342"/>
    <s v=""/>
    <x v="0"/>
    <s v="Lib"/>
    <s v="M"/>
    <x v="3"/>
    <n v="4.3650000000000002"/>
    <x v="31"/>
    <x v="3"/>
    <x v="0"/>
    <x v="0"/>
  </r>
  <r>
    <x v="349"/>
    <x v="308"/>
    <x v="343"/>
    <s v="E-M-2.5"/>
    <n v="2"/>
    <x v="343"/>
    <s v="lflaoniera8@wordpress.org"/>
    <x v="0"/>
    <s v="Exc"/>
    <s v="M"/>
    <x v="2"/>
    <n v="31.624999999999996"/>
    <x v="40"/>
    <x v="1"/>
    <x v="0"/>
    <x v="1"/>
  </r>
  <r>
    <x v="350"/>
    <x v="309"/>
    <x v="344"/>
    <s v="E-L-0.5"/>
    <n v="1"/>
    <x v="344"/>
    <s v=""/>
    <x v="0"/>
    <s v="Exc"/>
    <s v="L"/>
    <x v="1"/>
    <n v="8.91"/>
    <x v="161"/>
    <x v="1"/>
    <x v="1"/>
    <x v="0"/>
  </r>
  <r>
    <x v="351"/>
    <x v="310"/>
    <x v="345"/>
    <s v="E-D-1"/>
    <n v="2"/>
    <x v="345"/>
    <s v="ccatchesideaa@macromedia.com"/>
    <x v="0"/>
    <s v="Exc"/>
    <s v="D"/>
    <x v="0"/>
    <n v="12.15"/>
    <x v="76"/>
    <x v="1"/>
    <x v="2"/>
    <x v="0"/>
  </r>
  <r>
    <x v="352"/>
    <x v="311"/>
    <x v="346"/>
    <s v="A-L-0.5"/>
    <n v="6"/>
    <x v="346"/>
    <s v="cgibbonsonab@accuweather.com"/>
    <x v="0"/>
    <s v="Ara"/>
    <s v="L"/>
    <x v="1"/>
    <n v="7.77"/>
    <x v="162"/>
    <x v="2"/>
    <x v="1"/>
    <x v="0"/>
  </r>
  <r>
    <x v="353"/>
    <x v="132"/>
    <x v="347"/>
    <s v="R-L-0.5"/>
    <n v="6"/>
    <x v="347"/>
    <s v="tfarraac@behance.net"/>
    <x v="0"/>
    <s v="Rob"/>
    <s v="L"/>
    <x v="1"/>
    <n v="7.169999999999999"/>
    <x v="163"/>
    <x v="0"/>
    <x v="1"/>
    <x v="1"/>
  </r>
  <r>
    <x v="354"/>
    <x v="312"/>
    <x v="348"/>
    <s v="A-D-0.5"/>
    <n v="3"/>
    <x v="348"/>
    <s v=""/>
    <x v="1"/>
    <s v="Ara"/>
    <s v="D"/>
    <x v="1"/>
    <n v="5.97"/>
    <x v="8"/>
    <x v="2"/>
    <x v="2"/>
    <x v="0"/>
  </r>
  <r>
    <x v="355"/>
    <x v="313"/>
    <x v="349"/>
    <s v="L-L-0.5"/>
    <n v="4"/>
    <x v="349"/>
    <s v="gbamfieldae@yellowpages.com"/>
    <x v="0"/>
    <s v="Lib"/>
    <s v="L"/>
    <x v="1"/>
    <n v="9.51"/>
    <x v="82"/>
    <x v="3"/>
    <x v="1"/>
    <x v="0"/>
  </r>
  <r>
    <x v="356"/>
    <x v="156"/>
    <x v="350"/>
    <s v="A-M-0.2"/>
    <n v="2"/>
    <x v="350"/>
    <s v="whollingdaleaf@about.me"/>
    <x v="0"/>
    <s v="Ara"/>
    <s v="M"/>
    <x v="3"/>
    <n v="3.375"/>
    <x v="52"/>
    <x v="2"/>
    <x v="0"/>
    <x v="0"/>
  </r>
  <r>
    <x v="357"/>
    <x v="314"/>
    <x v="351"/>
    <s v="R-M-0.5"/>
    <n v="1"/>
    <x v="351"/>
    <s v="jdeag@xrea.com"/>
    <x v="0"/>
    <s v="Rob"/>
    <s v="M"/>
    <x v="1"/>
    <n v="5.97"/>
    <x v="9"/>
    <x v="0"/>
    <x v="0"/>
    <x v="0"/>
  </r>
  <r>
    <x v="358"/>
    <x v="315"/>
    <x v="352"/>
    <s v="R-D-0.2"/>
    <n v="3"/>
    <x v="352"/>
    <s v="vskulletah@tinyurl.com"/>
    <x v="1"/>
    <s v="Rob"/>
    <s v="D"/>
    <x v="3"/>
    <n v="2.6849999999999996"/>
    <x v="36"/>
    <x v="0"/>
    <x v="2"/>
    <x v="1"/>
  </r>
  <r>
    <x v="359"/>
    <x v="316"/>
    <x v="353"/>
    <s v="A-L-0.5"/>
    <n v="3"/>
    <x v="353"/>
    <s v="jrudeforthai@wunderground.com"/>
    <x v="1"/>
    <s v="Ara"/>
    <s v="L"/>
    <x v="1"/>
    <n v="7.77"/>
    <x v="102"/>
    <x v="2"/>
    <x v="1"/>
    <x v="0"/>
  </r>
  <r>
    <x v="360"/>
    <x v="317"/>
    <x v="354"/>
    <s v="R-L-0.5"/>
    <n v="6"/>
    <x v="354"/>
    <s v="atomaszewskiaj@answers.com"/>
    <x v="2"/>
    <s v="Rob"/>
    <s v="L"/>
    <x v="1"/>
    <n v="7.169999999999999"/>
    <x v="163"/>
    <x v="0"/>
    <x v="1"/>
    <x v="0"/>
  </r>
  <r>
    <x v="361"/>
    <x v="318"/>
    <x v="306"/>
    <s v="L-D-0.5"/>
    <n v="3"/>
    <x v="28"/>
    <s v=""/>
    <x v="0"/>
    <s v="Lib"/>
    <s v="D"/>
    <x v="1"/>
    <n v="7.77"/>
    <x v="102"/>
    <x v="3"/>
    <x v="2"/>
    <x v="1"/>
  </r>
  <r>
    <x v="362"/>
    <x v="182"/>
    <x v="355"/>
    <s v="A-D-0.2"/>
    <n v="5"/>
    <x v="355"/>
    <s v="pbessal@qq.com"/>
    <x v="0"/>
    <s v="Ara"/>
    <s v="D"/>
    <x v="3"/>
    <n v="2.9849999999999999"/>
    <x v="128"/>
    <x v="2"/>
    <x v="2"/>
    <x v="0"/>
  </r>
  <r>
    <x v="363"/>
    <x v="319"/>
    <x v="356"/>
    <s v="E-D-0.5"/>
    <n v="3"/>
    <x v="356"/>
    <s v="ewindressam@marketwatch.com"/>
    <x v="0"/>
    <s v="Exc"/>
    <s v="D"/>
    <x v="1"/>
    <n v="7.29"/>
    <x v="6"/>
    <x v="1"/>
    <x v="2"/>
    <x v="1"/>
  </r>
  <r>
    <x v="364"/>
    <x v="320"/>
    <x v="357"/>
    <s v="E-L-0.5"/>
    <n v="6"/>
    <x v="357"/>
    <s v=""/>
    <x v="0"/>
    <s v="Exc"/>
    <s v="L"/>
    <x v="1"/>
    <n v="8.91"/>
    <x v="119"/>
    <x v="1"/>
    <x v="1"/>
    <x v="0"/>
  </r>
  <r>
    <x v="365"/>
    <x v="321"/>
    <x v="358"/>
    <s v="A-L-2.5"/>
    <n v="4"/>
    <x v="358"/>
    <s v=""/>
    <x v="0"/>
    <s v="Ara"/>
    <s v="L"/>
    <x v="2"/>
    <n v="29.784999999999997"/>
    <x v="129"/>
    <x v="2"/>
    <x v="1"/>
    <x v="1"/>
  </r>
  <r>
    <x v="366"/>
    <x v="322"/>
    <x v="359"/>
    <s v="L-M-0.5"/>
    <n v="5"/>
    <x v="359"/>
    <s v="vbaumadierap@google.cn"/>
    <x v="0"/>
    <s v="Lib"/>
    <s v="M"/>
    <x v="1"/>
    <n v="8.73"/>
    <x v="34"/>
    <x v="3"/>
    <x v="0"/>
    <x v="0"/>
  </r>
  <r>
    <x v="367"/>
    <x v="128"/>
    <x v="360"/>
    <s v="A-D-0.2"/>
    <n v="6"/>
    <x v="360"/>
    <s v=""/>
    <x v="0"/>
    <s v="Ara"/>
    <s v="D"/>
    <x v="3"/>
    <n v="2.9849999999999999"/>
    <x v="8"/>
    <x v="2"/>
    <x v="2"/>
    <x v="0"/>
  </r>
  <r>
    <x v="368"/>
    <x v="323"/>
    <x v="361"/>
    <s v="E-L-1"/>
    <n v="5"/>
    <x v="361"/>
    <s v="sweldsar@wired.com"/>
    <x v="0"/>
    <s v="Exc"/>
    <s v="L"/>
    <x v="0"/>
    <n v="14.85"/>
    <x v="159"/>
    <x v="1"/>
    <x v="1"/>
    <x v="0"/>
  </r>
  <r>
    <x v="369"/>
    <x v="324"/>
    <x v="362"/>
    <s v="L-D-0.2"/>
    <n v="3"/>
    <x v="362"/>
    <s v="msarvaras@artisteer.com"/>
    <x v="0"/>
    <s v="Lib"/>
    <s v="D"/>
    <x v="3"/>
    <n v="3.8849999999999998"/>
    <x v="14"/>
    <x v="3"/>
    <x v="2"/>
    <x v="0"/>
  </r>
  <r>
    <x v="370"/>
    <x v="325"/>
    <x v="363"/>
    <s v="L-D-0.5"/>
    <n v="3"/>
    <x v="363"/>
    <s v="ahavickat@nsw.gov.au"/>
    <x v="0"/>
    <s v="Lib"/>
    <s v="D"/>
    <x v="1"/>
    <n v="7.77"/>
    <x v="102"/>
    <x v="3"/>
    <x v="2"/>
    <x v="0"/>
  </r>
  <r>
    <x v="371"/>
    <x v="326"/>
    <x v="364"/>
    <s v="E-D-0.5"/>
    <n v="2"/>
    <x v="364"/>
    <s v="sdivinyau@ask.com"/>
    <x v="0"/>
    <s v="Exc"/>
    <s v="D"/>
    <x v="1"/>
    <n v="7.29"/>
    <x v="20"/>
    <x v="1"/>
    <x v="2"/>
    <x v="0"/>
  </r>
  <r>
    <x v="372"/>
    <x v="327"/>
    <x v="365"/>
    <s v="A-M-0.5"/>
    <n v="2"/>
    <x v="365"/>
    <s v="inorquoyav@businessweek.com"/>
    <x v="0"/>
    <s v="Ara"/>
    <s v="M"/>
    <x v="1"/>
    <n v="6.75"/>
    <x v="72"/>
    <x v="2"/>
    <x v="0"/>
    <x v="1"/>
  </r>
  <r>
    <x v="373"/>
    <x v="328"/>
    <x v="366"/>
    <s v="E-L-1"/>
    <n v="6"/>
    <x v="366"/>
    <s v="aiddisonaw@usa.gov"/>
    <x v="0"/>
    <s v="Exc"/>
    <s v="L"/>
    <x v="0"/>
    <n v="14.85"/>
    <x v="146"/>
    <x v="1"/>
    <x v="1"/>
    <x v="1"/>
  </r>
  <r>
    <x v="373"/>
    <x v="328"/>
    <x v="366"/>
    <s v="A-L-0.2"/>
    <n v="1"/>
    <x v="366"/>
    <s v="aiddisonaw@usa.gov"/>
    <x v="0"/>
    <s v="Ara"/>
    <s v="L"/>
    <x v="3"/>
    <n v="3.8849999999999998"/>
    <x v="84"/>
    <x v="2"/>
    <x v="1"/>
    <x v="1"/>
  </r>
  <r>
    <x v="374"/>
    <x v="128"/>
    <x v="367"/>
    <s v="R-L-2.5"/>
    <n v="4"/>
    <x v="367"/>
    <s v="rlongfielday@bluehost.com"/>
    <x v="0"/>
    <s v="Rob"/>
    <s v="L"/>
    <x v="2"/>
    <n v="27.484999999999996"/>
    <x v="108"/>
    <x v="0"/>
    <x v="1"/>
    <x v="1"/>
  </r>
  <r>
    <x v="375"/>
    <x v="329"/>
    <x v="368"/>
    <s v="L-D-0.5"/>
    <n v="6"/>
    <x v="368"/>
    <s v="gkislingburyaz@samsung.com"/>
    <x v="0"/>
    <s v="Lib"/>
    <s v="D"/>
    <x v="1"/>
    <n v="7.77"/>
    <x v="162"/>
    <x v="3"/>
    <x v="2"/>
    <x v="0"/>
  </r>
  <r>
    <x v="376"/>
    <x v="330"/>
    <x v="369"/>
    <s v="A-L-0.5"/>
    <n v="5"/>
    <x v="369"/>
    <s v="xgibbonsb0@artisteer.com"/>
    <x v="0"/>
    <s v="Ara"/>
    <s v="L"/>
    <x v="1"/>
    <n v="7.77"/>
    <x v="5"/>
    <x v="2"/>
    <x v="1"/>
    <x v="1"/>
  </r>
  <r>
    <x v="377"/>
    <x v="331"/>
    <x v="370"/>
    <s v="L-D-0.5"/>
    <n v="4"/>
    <x v="370"/>
    <s v="fparresb1@imageshack.us"/>
    <x v="0"/>
    <s v="Lib"/>
    <s v="D"/>
    <x v="1"/>
    <n v="7.77"/>
    <x v="113"/>
    <x v="3"/>
    <x v="2"/>
    <x v="0"/>
  </r>
  <r>
    <x v="378"/>
    <x v="332"/>
    <x v="371"/>
    <s v="A-D-0.2"/>
    <n v="6"/>
    <x v="371"/>
    <s v="gsibrayb2@wsj.com"/>
    <x v="0"/>
    <s v="Ara"/>
    <s v="D"/>
    <x v="3"/>
    <n v="2.9849999999999999"/>
    <x v="8"/>
    <x v="2"/>
    <x v="2"/>
    <x v="0"/>
  </r>
  <r>
    <x v="379"/>
    <x v="333"/>
    <x v="372"/>
    <s v="E-D-2.5"/>
    <n v="6"/>
    <x v="372"/>
    <s v="ihotchkinb3@mit.edu"/>
    <x v="2"/>
    <s v="Exc"/>
    <s v="D"/>
    <x v="2"/>
    <n v="27.945"/>
    <x v="164"/>
    <x v="1"/>
    <x v="2"/>
    <x v="1"/>
  </r>
  <r>
    <x v="380"/>
    <x v="334"/>
    <x v="373"/>
    <s v="L-L-1"/>
    <n v="4"/>
    <x v="373"/>
    <s v="nbroadberrieb4@gnu.org"/>
    <x v="0"/>
    <s v="Lib"/>
    <s v="L"/>
    <x v="0"/>
    <n v="15.85"/>
    <x v="165"/>
    <x v="3"/>
    <x v="1"/>
    <x v="1"/>
  </r>
  <r>
    <x v="381"/>
    <x v="335"/>
    <x v="374"/>
    <s v="L-M-0.2"/>
    <n v="2"/>
    <x v="374"/>
    <s v="rpithcockb5@yellowbook.com"/>
    <x v="0"/>
    <s v="Lib"/>
    <s v="M"/>
    <x v="3"/>
    <n v="4.3650000000000002"/>
    <x v="31"/>
    <x v="3"/>
    <x v="0"/>
    <x v="0"/>
  </r>
  <r>
    <x v="382"/>
    <x v="336"/>
    <x v="375"/>
    <s v="R-D-1"/>
    <n v="3"/>
    <x v="375"/>
    <s v="gcroysdaleb6@nih.gov"/>
    <x v="0"/>
    <s v="Rob"/>
    <s v="D"/>
    <x v="0"/>
    <n v="8.9499999999999993"/>
    <x v="166"/>
    <x v="0"/>
    <x v="2"/>
    <x v="0"/>
  </r>
  <r>
    <x v="383"/>
    <x v="337"/>
    <x v="376"/>
    <s v="L-L-0.2"/>
    <n v="2"/>
    <x v="376"/>
    <s v="bgozzettb7@github.com"/>
    <x v="0"/>
    <s v="Lib"/>
    <s v="L"/>
    <x v="3"/>
    <n v="4.7549999999999999"/>
    <x v="54"/>
    <x v="3"/>
    <x v="1"/>
    <x v="1"/>
  </r>
  <r>
    <x v="384"/>
    <x v="80"/>
    <x v="377"/>
    <s v="A-D-1"/>
    <n v="4"/>
    <x v="377"/>
    <s v="tcraggsb8@house.gov"/>
    <x v="1"/>
    <s v="Ara"/>
    <s v="D"/>
    <x v="0"/>
    <n v="9.9499999999999993"/>
    <x v="10"/>
    <x v="2"/>
    <x v="2"/>
    <x v="1"/>
  </r>
  <r>
    <x v="385"/>
    <x v="338"/>
    <x v="378"/>
    <s v="E-M-0.5"/>
    <n v="3"/>
    <x v="378"/>
    <s v="lcullrfordb9@xing.com"/>
    <x v="0"/>
    <s v="Exc"/>
    <s v="M"/>
    <x v="1"/>
    <n v="8.25"/>
    <x v="167"/>
    <x v="1"/>
    <x v="0"/>
    <x v="0"/>
  </r>
  <r>
    <x v="386"/>
    <x v="339"/>
    <x v="379"/>
    <s v="E-M-1"/>
    <n v="5"/>
    <x v="379"/>
    <s v="arizonba@xing.com"/>
    <x v="0"/>
    <s v="Exc"/>
    <s v="M"/>
    <x v="0"/>
    <n v="13.75"/>
    <x v="85"/>
    <x v="1"/>
    <x v="0"/>
    <x v="0"/>
  </r>
  <r>
    <x v="387"/>
    <x v="340"/>
    <x v="380"/>
    <s v="E-M-0.5"/>
    <n v="6"/>
    <x v="380"/>
    <s v=""/>
    <x v="1"/>
    <s v="Exc"/>
    <s v="M"/>
    <x v="1"/>
    <n v="8.25"/>
    <x v="168"/>
    <x v="1"/>
    <x v="0"/>
    <x v="1"/>
  </r>
  <r>
    <x v="388"/>
    <x v="177"/>
    <x v="381"/>
    <s v="A-M-2.5"/>
    <n v="2"/>
    <x v="381"/>
    <s v="fmiellbc@spiegel.de"/>
    <x v="0"/>
    <s v="Ara"/>
    <s v="M"/>
    <x v="2"/>
    <n v="25.874999999999996"/>
    <x v="95"/>
    <x v="2"/>
    <x v="0"/>
    <x v="0"/>
  </r>
  <r>
    <x v="389"/>
    <x v="341"/>
    <x v="382"/>
    <s v="L-L-1"/>
    <n v="3"/>
    <x v="382"/>
    <s v=""/>
    <x v="1"/>
    <s v="Lib"/>
    <s v="L"/>
    <x v="0"/>
    <n v="15.85"/>
    <x v="46"/>
    <x v="3"/>
    <x v="1"/>
    <x v="0"/>
  </r>
  <r>
    <x v="390"/>
    <x v="342"/>
    <x v="383"/>
    <s v="A-L-0.2"/>
    <n v="4"/>
    <x v="383"/>
    <s v=""/>
    <x v="0"/>
    <s v="Ara"/>
    <s v="L"/>
    <x v="3"/>
    <n v="3.8849999999999998"/>
    <x v="42"/>
    <x v="2"/>
    <x v="1"/>
    <x v="1"/>
  </r>
  <r>
    <x v="391"/>
    <x v="343"/>
    <x v="384"/>
    <s v="L-M-1"/>
    <n v="6"/>
    <x v="384"/>
    <s v=""/>
    <x v="0"/>
    <s v="Lib"/>
    <s v="M"/>
    <x v="0"/>
    <n v="14.55"/>
    <x v="75"/>
    <x v="3"/>
    <x v="0"/>
    <x v="0"/>
  </r>
  <r>
    <x v="392"/>
    <x v="344"/>
    <x v="385"/>
    <s v="A-M-1"/>
    <n v="5"/>
    <x v="385"/>
    <s v=""/>
    <x v="0"/>
    <s v="Ara"/>
    <s v="M"/>
    <x v="0"/>
    <n v="11.25"/>
    <x v="126"/>
    <x v="2"/>
    <x v="0"/>
    <x v="0"/>
  </r>
  <r>
    <x v="393"/>
    <x v="47"/>
    <x v="386"/>
    <s v="L-L-2.5"/>
    <n v="1"/>
    <x v="386"/>
    <s v="wspringallbh@jugem.jp"/>
    <x v="0"/>
    <s v="Lib"/>
    <s v="L"/>
    <x v="2"/>
    <n v="36.454999999999998"/>
    <x v="133"/>
    <x v="3"/>
    <x v="1"/>
    <x v="0"/>
  </r>
  <r>
    <x v="394"/>
    <x v="345"/>
    <x v="387"/>
    <s v="R-L-0.2"/>
    <n v="3"/>
    <x v="387"/>
    <s v=""/>
    <x v="0"/>
    <s v="Rob"/>
    <s v="L"/>
    <x v="3"/>
    <n v="3.5849999999999995"/>
    <x v="127"/>
    <x v="0"/>
    <x v="1"/>
    <x v="0"/>
  </r>
  <r>
    <x v="395"/>
    <x v="169"/>
    <x v="388"/>
    <s v="R-M-0.2"/>
    <n v="3"/>
    <x v="388"/>
    <s v="ghawkyensbj@census.gov"/>
    <x v="0"/>
    <s v="Rob"/>
    <s v="M"/>
    <x v="3"/>
    <n v="2.9849999999999999"/>
    <x v="169"/>
    <x v="0"/>
    <x v="0"/>
    <x v="1"/>
  </r>
  <r>
    <x v="396"/>
    <x v="346"/>
    <x v="389"/>
    <s v="A-L-0.5"/>
    <n v="3"/>
    <x v="389"/>
    <s v=""/>
    <x v="0"/>
    <s v="Ara"/>
    <s v="L"/>
    <x v="1"/>
    <n v="7.77"/>
    <x v="102"/>
    <x v="2"/>
    <x v="1"/>
    <x v="0"/>
  </r>
  <r>
    <x v="397"/>
    <x v="347"/>
    <x v="390"/>
    <s v="A-L-2.5"/>
    <n v="1"/>
    <x v="390"/>
    <s v=""/>
    <x v="0"/>
    <s v="Ara"/>
    <s v="L"/>
    <x v="2"/>
    <n v="29.784999999999997"/>
    <x v="91"/>
    <x v="2"/>
    <x v="1"/>
    <x v="0"/>
  </r>
  <r>
    <x v="398"/>
    <x v="348"/>
    <x v="391"/>
    <s v="A-L-2.5"/>
    <n v="5"/>
    <x v="391"/>
    <s v="bmcgilvrabm@so-net.ne.jp"/>
    <x v="0"/>
    <s v="Ara"/>
    <s v="L"/>
    <x v="2"/>
    <n v="29.784999999999997"/>
    <x v="74"/>
    <x v="2"/>
    <x v="1"/>
    <x v="0"/>
  </r>
  <r>
    <x v="399"/>
    <x v="349"/>
    <x v="392"/>
    <s v="L-M-0.5"/>
    <n v="1"/>
    <x v="392"/>
    <s v="adanzeybn@github.com"/>
    <x v="0"/>
    <s v="Lib"/>
    <s v="M"/>
    <x v="1"/>
    <n v="8.73"/>
    <x v="31"/>
    <x v="3"/>
    <x v="0"/>
    <x v="0"/>
  </r>
  <r>
    <x v="400"/>
    <x v="350"/>
    <x v="347"/>
    <s v="L-D-0.5"/>
    <n v="4"/>
    <x v="28"/>
    <s v="tfarraac@behance.net"/>
    <x v="0"/>
    <s v="Lib"/>
    <s v="D"/>
    <x v="1"/>
    <n v="7.77"/>
    <x v="113"/>
    <x v="3"/>
    <x v="2"/>
    <x v="1"/>
  </r>
  <r>
    <x v="400"/>
    <x v="350"/>
    <x v="347"/>
    <s v="A-D-2.5"/>
    <n v="6"/>
    <x v="28"/>
    <s v="tfarraac@behance.net"/>
    <x v="0"/>
    <s v="Ara"/>
    <s v="D"/>
    <x v="2"/>
    <n v="22.884999999999998"/>
    <x v="170"/>
    <x v="2"/>
    <x v="2"/>
    <x v="1"/>
  </r>
  <r>
    <x v="401"/>
    <x v="54"/>
    <x v="393"/>
    <s v="A-D-0.5"/>
    <n v="5"/>
    <x v="393"/>
    <s v=""/>
    <x v="0"/>
    <s v="Ara"/>
    <s v="D"/>
    <x v="1"/>
    <n v="5.97"/>
    <x v="44"/>
    <x v="2"/>
    <x v="2"/>
    <x v="1"/>
  </r>
  <r>
    <x v="402"/>
    <x v="237"/>
    <x v="394"/>
    <s v="R-M-0.5"/>
    <n v="3"/>
    <x v="394"/>
    <s v=""/>
    <x v="0"/>
    <s v="Rob"/>
    <s v="M"/>
    <x v="1"/>
    <n v="5.97"/>
    <x v="8"/>
    <x v="0"/>
    <x v="0"/>
    <x v="1"/>
  </r>
  <r>
    <x v="403"/>
    <x v="351"/>
    <x v="395"/>
    <s v="E-L-0.5"/>
    <n v="3"/>
    <x v="395"/>
    <s v="ydombrellbs@dedecms.com"/>
    <x v="0"/>
    <s v="Exc"/>
    <s v="L"/>
    <x v="1"/>
    <n v="8.91"/>
    <x v="149"/>
    <x v="1"/>
    <x v="1"/>
    <x v="0"/>
  </r>
  <r>
    <x v="404"/>
    <x v="352"/>
    <x v="396"/>
    <s v="R-D-1"/>
    <n v="2"/>
    <x v="396"/>
    <s v="adarthbt@t.co"/>
    <x v="0"/>
    <s v="Rob"/>
    <s v="D"/>
    <x v="0"/>
    <n v="8.9499999999999993"/>
    <x v="105"/>
    <x v="0"/>
    <x v="2"/>
    <x v="1"/>
  </r>
  <r>
    <x v="405"/>
    <x v="102"/>
    <x v="397"/>
    <s v="R-L-0.2"/>
    <n v="4"/>
    <x v="397"/>
    <s v="mdarrigoebu@hud.gov"/>
    <x v="1"/>
    <s v="Rob"/>
    <s v="L"/>
    <x v="3"/>
    <n v="3.5849999999999995"/>
    <x v="79"/>
    <x v="0"/>
    <x v="1"/>
    <x v="0"/>
  </r>
  <r>
    <x v="406"/>
    <x v="353"/>
    <x v="398"/>
    <s v="A-M-2.5"/>
    <n v="3"/>
    <x v="398"/>
    <s v=""/>
    <x v="0"/>
    <s v="Ara"/>
    <s v="M"/>
    <x v="2"/>
    <n v="25.874999999999996"/>
    <x v="57"/>
    <x v="2"/>
    <x v="0"/>
    <x v="0"/>
  </r>
  <r>
    <x v="407"/>
    <x v="354"/>
    <x v="399"/>
    <s v="R-L-1"/>
    <n v="5"/>
    <x v="399"/>
    <s v="mackrillbw@bandcamp.com"/>
    <x v="0"/>
    <s v="Rob"/>
    <s v="L"/>
    <x v="0"/>
    <n v="11.95"/>
    <x v="143"/>
    <x v="0"/>
    <x v="1"/>
    <x v="1"/>
  </r>
  <r>
    <x v="408"/>
    <x v="135"/>
    <x v="347"/>
    <s v="A-L-1"/>
    <n v="6"/>
    <x v="28"/>
    <s v="tfarraac@behance.net"/>
    <x v="0"/>
    <s v="Ara"/>
    <s v="L"/>
    <x v="0"/>
    <n v="12.95"/>
    <x v="17"/>
    <x v="2"/>
    <x v="1"/>
    <x v="1"/>
  </r>
  <r>
    <x v="409"/>
    <x v="343"/>
    <x v="400"/>
    <s v="R-D-0.2"/>
    <n v="2"/>
    <x v="400"/>
    <s v="mkippenby@dion.ne.jp"/>
    <x v="0"/>
    <s v="Rob"/>
    <s v="D"/>
    <x v="3"/>
    <n v="2.6849999999999996"/>
    <x v="147"/>
    <x v="0"/>
    <x v="2"/>
    <x v="0"/>
  </r>
  <r>
    <x v="410"/>
    <x v="89"/>
    <x v="401"/>
    <s v="E-D-2.5"/>
    <n v="3"/>
    <x v="401"/>
    <s v="wransonbz@ted.com"/>
    <x v="1"/>
    <s v="Exc"/>
    <s v="D"/>
    <x v="2"/>
    <n v="27.945"/>
    <x v="171"/>
    <x v="1"/>
    <x v="2"/>
    <x v="0"/>
  </r>
  <r>
    <x v="411"/>
    <x v="355"/>
    <x v="402"/>
    <s v="A-M-1"/>
    <n v="2"/>
    <x v="402"/>
    <s v=""/>
    <x v="0"/>
    <s v="Ara"/>
    <s v="M"/>
    <x v="0"/>
    <n v="11.25"/>
    <x v="122"/>
    <x v="2"/>
    <x v="0"/>
    <x v="1"/>
  </r>
  <r>
    <x v="412"/>
    <x v="204"/>
    <x v="403"/>
    <s v="L-M-2.5"/>
    <n v="6"/>
    <x v="403"/>
    <s v="lrignoldc1@miibeian.gov.cn"/>
    <x v="0"/>
    <s v="Lib"/>
    <s v="M"/>
    <x v="2"/>
    <n v="33.464999999999996"/>
    <x v="172"/>
    <x v="3"/>
    <x v="0"/>
    <x v="0"/>
  </r>
  <r>
    <x v="413"/>
    <x v="356"/>
    <x v="404"/>
    <s v="A-M-1"/>
    <n v="6"/>
    <x v="404"/>
    <s v=""/>
    <x v="0"/>
    <s v="Ara"/>
    <s v="M"/>
    <x v="0"/>
    <n v="11.25"/>
    <x v="173"/>
    <x v="2"/>
    <x v="0"/>
    <x v="1"/>
  </r>
  <r>
    <x v="414"/>
    <x v="357"/>
    <x v="405"/>
    <s v="E-M-0.5"/>
    <n v="1"/>
    <x v="405"/>
    <s v="crowthornc3@msn.com"/>
    <x v="0"/>
    <s v="Exc"/>
    <s v="M"/>
    <x v="1"/>
    <n v="8.25"/>
    <x v="112"/>
    <x v="1"/>
    <x v="0"/>
    <x v="1"/>
  </r>
  <r>
    <x v="415"/>
    <x v="300"/>
    <x v="406"/>
    <s v="L-L-0.2"/>
    <n v="2"/>
    <x v="406"/>
    <s v="orylandc4@deviantart.com"/>
    <x v="0"/>
    <s v="Lib"/>
    <s v="L"/>
    <x v="3"/>
    <n v="4.7549999999999999"/>
    <x v="54"/>
    <x v="3"/>
    <x v="1"/>
    <x v="0"/>
  </r>
  <r>
    <x v="416"/>
    <x v="358"/>
    <x v="407"/>
    <s v="L-D-2.5"/>
    <n v="1"/>
    <x v="407"/>
    <s v=""/>
    <x v="0"/>
    <s v="Lib"/>
    <s v="D"/>
    <x v="2"/>
    <n v="29.784999999999997"/>
    <x v="91"/>
    <x v="3"/>
    <x v="2"/>
    <x v="1"/>
  </r>
  <r>
    <x v="417"/>
    <x v="161"/>
    <x v="408"/>
    <s v="L-D-0.5"/>
    <n v="2"/>
    <x v="408"/>
    <s v="msesonck@census.gov"/>
    <x v="0"/>
    <s v="Lib"/>
    <s v="D"/>
    <x v="1"/>
    <n v="7.77"/>
    <x v="42"/>
    <x v="3"/>
    <x v="2"/>
    <x v="1"/>
  </r>
  <r>
    <x v="418"/>
    <x v="129"/>
    <x v="409"/>
    <s v="E-L-0.5"/>
    <n v="4"/>
    <x v="409"/>
    <s v="craglessc7@webmd.com"/>
    <x v="1"/>
    <s v="Exc"/>
    <s v="L"/>
    <x v="1"/>
    <n v="8.91"/>
    <x v="70"/>
    <x v="1"/>
    <x v="1"/>
    <x v="1"/>
  </r>
  <r>
    <x v="419"/>
    <x v="359"/>
    <x v="410"/>
    <s v="A-M-2.5"/>
    <n v="4"/>
    <x v="410"/>
    <s v="fhollowsc8@blogtalkradio.com"/>
    <x v="0"/>
    <s v="Ara"/>
    <s v="M"/>
    <x v="2"/>
    <n v="25.874999999999996"/>
    <x v="68"/>
    <x v="2"/>
    <x v="0"/>
    <x v="0"/>
  </r>
  <r>
    <x v="420"/>
    <x v="360"/>
    <x v="411"/>
    <s v="E-D-1"/>
    <n v="3"/>
    <x v="411"/>
    <s v="llathleiffc9@nationalgeographic.com"/>
    <x v="1"/>
    <s v="Exc"/>
    <s v="D"/>
    <x v="0"/>
    <n v="12.15"/>
    <x v="114"/>
    <x v="1"/>
    <x v="2"/>
    <x v="0"/>
  </r>
  <r>
    <x v="421"/>
    <x v="361"/>
    <x v="412"/>
    <s v="R-L-0.5"/>
    <n v="5"/>
    <x v="412"/>
    <s v="kheadsca@jalbum.net"/>
    <x v="0"/>
    <s v="Rob"/>
    <s v="L"/>
    <x v="1"/>
    <n v="7.169999999999999"/>
    <x v="66"/>
    <x v="0"/>
    <x v="1"/>
    <x v="1"/>
  </r>
  <r>
    <x v="422"/>
    <x v="362"/>
    <x v="413"/>
    <s v="E-L-0.2"/>
    <n v="5"/>
    <x v="413"/>
    <s v="tbownecb@unicef.org"/>
    <x v="1"/>
    <s v="Exc"/>
    <s v="L"/>
    <x v="3"/>
    <n v="4.4550000000000001"/>
    <x v="110"/>
    <x v="1"/>
    <x v="1"/>
    <x v="0"/>
  </r>
  <r>
    <x v="423"/>
    <x v="363"/>
    <x v="414"/>
    <s v="E-M-0.2"/>
    <n v="6"/>
    <x v="414"/>
    <s v="rjacquemardcc@acquirethisname.com"/>
    <x v="1"/>
    <s v="Exc"/>
    <s v="M"/>
    <x v="3"/>
    <n v="4.125"/>
    <x v="167"/>
    <x v="1"/>
    <x v="0"/>
    <x v="1"/>
  </r>
  <r>
    <x v="424"/>
    <x v="364"/>
    <x v="415"/>
    <s v="L-M-2.5"/>
    <n v="2"/>
    <x v="415"/>
    <s v="kwarmancd@printfriendly.com"/>
    <x v="1"/>
    <s v="Lib"/>
    <s v="M"/>
    <x v="2"/>
    <n v="33.464999999999996"/>
    <x v="174"/>
    <x v="3"/>
    <x v="0"/>
    <x v="0"/>
  </r>
  <r>
    <x v="425"/>
    <x v="85"/>
    <x v="416"/>
    <s v="L-M-0.5"/>
    <n v="1"/>
    <x v="416"/>
    <s v="wcholomince@about.com"/>
    <x v="2"/>
    <s v="Lib"/>
    <s v="M"/>
    <x v="1"/>
    <n v="8.73"/>
    <x v="31"/>
    <x v="3"/>
    <x v="0"/>
    <x v="0"/>
  </r>
  <r>
    <x v="426"/>
    <x v="365"/>
    <x v="417"/>
    <s v="R-M-0.5"/>
    <n v="3"/>
    <x v="417"/>
    <s v="abraidmancf@census.gov"/>
    <x v="0"/>
    <s v="Rob"/>
    <s v="M"/>
    <x v="1"/>
    <n v="5.97"/>
    <x v="8"/>
    <x v="0"/>
    <x v="0"/>
    <x v="1"/>
  </r>
  <r>
    <x v="427"/>
    <x v="366"/>
    <x v="418"/>
    <s v="R-L-0.5"/>
    <n v="1"/>
    <x v="418"/>
    <s v="pdurbancg@symantec.com"/>
    <x v="1"/>
    <s v="Rob"/>
    <s v="L"/>
    <x v="1"/>
    <n v="7.169999999999999"/>
    <x v="53"/>
    <x v="0"/>
    <x v="1"/>
    <x v="1"/>
  </r>
  <r>
    <x v="428"/>
    <x v="367"/>
    <x v="419"/>
    <s v="R-D-0.2"/>
    <n v="2"/>
    <x v="419"/>
    <s v="aharroldch@miibeian.gov.cn"/>
    <x v="0"/>
    <s v="Rob"/>
    <s v="D"/>
    <x v="3"/>
    <n v="2.6849999999999996"/>
    <x v="147"/>
    <x v="0"/>
    <x v="2"/>
    <x v="1"/>
  </r>
  <r>
    <x v="429"/>
    <x v="142"/>
    <x v="420"/>
    <s v="L-L-0.2"/>
    <n v="5"/>
    <x v="420"/>
    <s v="spamphilonci@mlb.com"/>
    <x v="1"/>
    <s v="Lib"/>
    <s v="L"/>
    <x v="3"/>
    <n v="4.7549999999999999"/>
    <x v="29"/>
    <x v="3"/>
    <x v="1"/>
    <x v="1"/>
  </r>
  <r>
    <x v="430"/>
    <x v="368"/>
    <x v="421"/>
    <s v="R-D-2.5"/>
    <n v="2"/>
    <x v="421"/>
    <s v="mspurdencj@exblog.jp"/>
    <x v="0"/>
    <s v="Rob"/>
    <s v="D"/>
    <x v="2"/>
    <n v="20.584999999999997"/>
    <x v="13"/>
    <x v="0"/>
    <x v="2"/>
    <x v="0"/>
  </r>
  <r>
    <x v="431"/>
    <x v="31"/>
    <x v="408"/>
    <s v="A-L-0.2"/>
    <n v="3"/>
    <x v="408"/>
    <s v="msesonck@census.gov"/>
    <x v="0"/>
    <s v="Ara"/>
    <s v="L"/>
    <x v="3"/>
    <n v="3.8849999999999998"/>
    <x v="14"/>
    <x v="2"/>
    <x v="1"/>
    <x v="1"/>
  </r>
  <r>
    <x v="432"/>
    <x v="369"/>
    <x v="422"/>
    <s v="L-L-0.5"/>
    <n v="4"/>
    <x v="422"/>
    <s v="npirronecl@weibo.com"/>
    <x v="0"/>
    <s v="Lib"/>
    <s v="L"/>
    <x v="1"/>
    <n v="9.51"/>
    <x v="82"/>
    <x v="3"/>
    <x v="1"/>
    <x v="1"/>
  </r>
  <r>
    <x v="433"/>
    <x v="370"/>
    <x v="423"/>
    <s v="R-D-2.5"/>
    <n v="4"/>
    <x v="423"/>
    <s v="rcawleycm@yellowbook.com"/>
    <x v="1"/>
    <s v="Rob"/>
    <s v="D"/>
    <x v="2"/>
    <n v="20.584999999999997"/>
    <x v="18"/>
    <x v="0"/>
    <x v="2"/>
    <x v="0"/>
  </r>
  <r>
    <x v="434"/>
    <x v="371"/>
    <x v="424"/>
    <s v="L-L-0.2"/>
    <n v="2"/>
    <x v="424"/>
    <s v="sbarribalcn@microsoft.com"/>
    <x v="1"/>
    <s v="Lib"/>
    <s v="L"/>
    <x v="3"/>
    <n v="4.7549999999999999"/>
    <x v="54"/>
    <x v="3"/>
    <x v="1"/>
    <x v="0"/>
  </r>
  <r>
    <x v="435"/>
    <x v="372"/>
    <x v="425"/>
    <s v="R-D-2.5"/>
    <n v="2"/>
    <x v="425"/>
    <s v="aadamidesco@bizjournals.com"/>
    <x v="2"/>
    <s v="Rob"/>
    <s v="D"/>
    <x v="2"/>
    <n v="20.584999999999997"/>
    <x v="13"/>
    <x v="0"/>
    <x v="2"/>
    <x v="1"/>
  </r>
  <r>
    <x v="436"/>
    <x v="373"/>
    <x v="426"/>
    <s v="L-L-0.5"/>
    <n v="5"/>
    <x v="426"/>
    <s v="cthowescp@craigslist.org"/>
    <x v="0"/>
    <s v="Lib"/>
    <s v="L"/>
    <x v="1"/>
    <n v="9.51"/>
    <x v="46"/>
    <x v="3"/>
    <x v="1"/>
    <x v="1"/>
  </r>
  <r>
    <x v="437"/>
    <x v="374"/>
    <x v="427"/>
    <s v="A-M-1"/>
    <n v="4"/>
    <x v="427"/>
    <s v="rwillowaycq@admin.ch"/>
    <x v="0"/>
    <s v="Ara"/>
    <s v="M"/>
    <x v="0"/>
    <n v="11.25"/>
    <x v="157"/>
    <x v="2"/>
    <x v="0"/>
    <x v="1"/>
  </r>
  <r>
    <x v="438"/>
    <x v="319"/>
    <x v="428"/>
    <s v="L-L-0.2"/>
    <n v="5"/>
    <x v="428"/>
    <s v="aelwincr@privacy.gov.au"/>
    <x v="0"/>
    <s v="Lib"/>
    <s v="L"/>
    <x v="3"/>
    <n v="4.7549999999999999"/>
    <x v="29"/>
    <x v="3"/>
    <x v="1"/>
    <x v="1"/>
  </r>
  <r>
    <x v="439"/>
    <x v="375"/>
    <x v="429"/>
    <s v="R-D-0.5"/>
    <n v="3"/>
    <x v="429"/>
    <s v="abilbrookcs@booking.com"/>
    <x v="1"/>
    <s v="Rob"/>
    <s v="D"/>
    <x v="1"/>
    <n v="5.3699999999999992"/>
    <x v="103"/>
    <x v="0"/>
    <x v="2"/>
    <x v="0"/>
  </r>
  <r>
    <x v="440"/>
    <x v="376"/>
    <x v="430"/>
    <s v="R-D-0.2"/>
    <n v="4"/>
    <x v="430"/>
    <s v="rmckallct@sakura.ne.jp"/>
    <x v="2"/>
    <s v="Rob"/>
    <s v="D"/>
    <x v="3"/>
    <n v="2.6849999999999996"/>
    <x v="175"/>
    <x v="0"/>
    <x v="2"/>
    <x v="0"/>
  </r>
  <r>
    <x v="441"/>
    <x v="377"/>
    <x v="431"/>
    <s v="A-D-1"/>
    <n v="5"/>
    <x v="431"/>
    <s v="bdailecu@vistaprint.com"/>
    <x v="0"/>
    <s v="Ara"/>
    <s v="D"/>
    <x v="0"/>
    <n v="9.9499999999999993"/>
    <x v="12"/>
    <x v="2"/>
    <x v="2"/>
    <x v="0"/>
  </r>
  <r>
    <x v="442"/>
    <x v="378"/>
    <x v="432"/>
    <s v="E-M-1"/>
    <n v="2"/>
    <x v="432"/>
    <s v="atrehernecv@state.tx.us"/>
    <x v="1"/>
    <s v="Exc"/>
    <s v="M"/>
    <x v="0"/>
    <n v="13.75"/>
    <x v="3"/>
    <x v="1"/>
    <x v="0"/>
    <x v="1"/>
  </r>
  <r>
    <x v="443"/>
    <x v="277"/>
    <x v="433"/>
    <s v="L-D-2.5"/>
    <n v="4"/>
    <x v="433"/>
    <s v="abrentnallcw@biglobe.ne.jp"/>
    <x v="2"/>
    <s v="Lib"/>
    <s v="D"/>
    <x v="2"/>
    <n v="29.784999999999997"/>
    <x v="129"/>
    <x v="3"/>
    <x v="2"/>
    <x v="1"/>
  </r>
  <r>
    <x v="444"/>
    <x v="379"/>
    <x v="434"/>
    <s v="R-D-2.5"/>
    <n v="1"/>
    <x v="434"/>
    <s v="ddrinkallcx@psu.edu"/>
    <x v="0"/>
    <s v="Rob"/>
    <s v="D"/>
    <x v="2"/>
    <n v="20.584999999999997"/>
    <x v="123"/>
    <x v="0"/>
    <x v="2"/>
    <x v="0"/>
  </r>
  <r>
    <x v="445"/>
    <x v="86"/>
    <x v="435"/>
    <s v="A-D-0.2"/>
    <n v="3"/>
    <x v="435"/>
    <s v="dkornelcy@cyberchimps.com"/>
    <x v="0"/>
    <s v="Ara"/>
    <s v="D"/>
    <x v="3"/>
    <n v="2.9849999999999999"/>
    <x v="169"/>
    <x v="2"/>
    <x v="2"/>
    <x v="0"/>
  </r>
  <r>
    <x v="446"/>
    <x v="380"/>
    <x v="436"/>
    <s v="A-D-0.5"/>
    <n v="1"/>
    <x v="436"/>
    <s v="rlequeuxcz@newyorker.com"/>
    <x v="0"/>
    <s v="Ara"/>
    <s v="D"/>
    <x v="1"/>
    <n v="5.97"/>
    <x v="9"/>
    <x v="2"/>
    <x v="2"/>
    <x v="1"/>
  </r>
  <r>
    <x v="447"/>
    <x v="381"/>
    <x v="437"/>
    <s v="E-M-1"/>
    <n v="3"/>
    <x v="437"/>
    <s v="jmccaulld0@parallels.com"/>
    <x v="0"/>
    <s v="Exc"/>
    <s v="M"/>
    <x v="0"/>
    <n v="13.75"/>
    <x v="1"/>
    <x v="1"/>
    <x v="0"/>
    <x v="0"/>
  </r>
  <r>
    <x v="448"/>
    <x v="382"/>
    <x v="438"/>
    <s v="E-L-0.2"/>
    <n v="5"/>
    <x v="438"/>
    <s v="abrashda@plala.or.jp"/>
    <x v="0"/>
    <s v="Exc"/>
    <s v="L"/>
    <x v="3"/>
    <n v="4.4550000000000001"/>
    <x v="110"/>
    <x v="1"/>
    <x v="1"/>
    <x v="0"/>
  </r>
  <r>
    <x v="449"/>
    <x v="11"/>
    <x v="439"/>
    <s v="A-M-0.5"/>
    <n v="1"/>
    <x v="439"/>
    <s v="ahutchinsond2@imgur.com"/>
    <x v="0"/>
    <s v="Ara"/>
    <s v="M"/>
    <x v="1"/>
    <n v="6.75"/>
    <x v="52"/>
    <x v="2"/>
    <x v="0"/>
    <x v="0"/>
  </r>
  <r>
    <x v="450"/>
    <x v="167"/>
    <x v="440"/>
    <s v="L-M-2.5"/>
    <n v="4"/>
    <x v="440"/>
    <s v=""/>
    <x v="0"/>
    <s v="Lib"/>
    <s v="M"/>
    <x v="2"/>
    <n v="33.464999999999996"/>
    <x v="136"/>
    <x v="3"/>
    <x v="0"/>
    <x v="0"/>
  </r>
  <r>
    <x v="451"/>
    <x v="383"/>
    <x v="441"/>
    <s v="A-D-0.2"/>
    <n v="2"/>
    <x v="441"/>
    <s v="rdriversd4@hexun.com"/>
    <x v="0"/>
    <s v="Ara"/>
    <s v="D"/>
    <x v="3"/>
    <n v="2.9849999999999999"/>
    <x v="9"/>
    <x v="2"/>
    <x v="2"/>
    <x v="1"/>
  </r>
  <r>
    <x v="452"/>
    <x v="18"/>
    <x v="442"/>
    <s v="A-L-1"/>
    <n v="2"/>
    <x v="442"/>
    <s v="hzeald5@google.de"/>
    <x v="0"/>
    <s v="Ara"/>
    <s v="L"/>
    <x v="0"/>
    <n v="12.95"/>
    <x v="109"/>
    <x v="2"/>
    <x v="1"/>
    <x v="1"/>
  </r>
  <r>
    <x v="453"/>
    <x v="84"/>
    <x v="443"/>
    <s v="E-M-2.5"/>
    <n v="1"/>
    <x v="443"/>
    <s v="gsmallcombed6@ucla.edu"/>
    <x v="1"/>
    <s v="Exc"/>
    <s v="M"/>
    <x v="2"/>
    <n v="31.624999999999996"/>
    <x v="176"/>
    <x v="1"/>
    <x v="0"/>
    <x v="0"/>
  </r>
  <r>
    <x v="454"/>
    <x v="384"/>
    <x v="444"/>
    <s v="L-M-0.2"/>
    <n v="2"/>
    <x v="444"/>
    <s v="ddibleyd7@feedburner.com"/>
    <x v="0"/>
    <s v="Lib"/>
    <s v="M"/>
    <x v="3"/>
    <n v="4.3650000000000002"/>
    <x v="31"/>
    <x v="3"/>
    <x v="0"/>
    <x v="1"/>
  </r>
  <r>
    <x v="455"/>
    <x v="385"/>
    <x v="445"/>
    <s v="E-L-0.2"/>
    <n v="6"/>
    <x v="445"/>
    <s v="gdimitrioud8@chronoengine.com"/>
    <x v="0"/>
    <s v="Exc"/>
    <s v="L"/>
    <x v="3"/>
    <n v="4.4550000000000001"/>
    <x v="149"/>
    <x v="1"/>
    <x v="1"/>
    <x v="0"/>
  </r>
  <r>
    <x v="456"/>
    <x v="386"/>
    <x v="446"/>
    <s v="L-M-0.2"/>
    <n v="6"/>
    <x v="446"/>
    <s v="fflanagand9@woothemes.com"/>
    <x v="0"/>
    <s v="Lib"/>
    <s v="M"/>
    <x v="3"/>
    <n v="4.3650000000000002"/>
    <x v="50"/>
    <x v="3"/>
    <x v="0"/>
    <x v="1"/>
  </r>
  <r>
    <x v="457"/>
    <x v="387"/>
    <x v="438"/>
    <s v="R-D-1"/>
    <n v="6"/>
    <x v="438"/>
    <s v="abrashda@plala.or.jp"/>
    <x v="0"/>
    <s v="Rob"/>
    <s v="D"/>
    <x v="0"/>
    <n v="8.9499999999999993"/>
    <x v="59"/>
    <x v="0"/>
    <x v="2"/>
    <x v="0"/>
  </r>
  <r>
    <x v="457"/>
    <x v="387"/>
    <x v="438"/>
    <s v="E-M-2.5"/>
    <n v="4"/>
    <x v="438"/>
    <s v="abrashda@plala.or.jp"/>
    <x v="0"/>
    <s v="Exc"/>
    <s v="M"/>
    <x v="2"/>
    <n v="31.624999999999996"/>
    <x v="177"/>
    <x v="1"/>
    <x v="0"/>
    <x v="0"/>
  </r>
  <r>
    <x v="457"/>
    <x v="387"/>
    <x v="438"/>
    <s v="E-M-0.2"/>
    <n v="1"/>
    <x v="28"/>
    <s v="abrashda@plala.or.jp"/>
    <x v="0"/>
    <s v="Exc"/>
    <s v="M"/>
    <x v="3"/>
    <n v="4.125"/>
    <x v="83"/>
    <x v="1"/>
    <x v="0"/>
    <x v="0"/>
  </r>
  <r>
    <x v="458"/>
    <x v="388"/>
    <x v="447"/>
    <s v="R-L-1"/>
    <n v="2"/>
    <x v="447"/>
    <s v="nizhakovdd@aol.com"/>
    <x v="2"/>
    <s v="Rob"/>
    <s v="L"/>
    <x v="0"/>
    <n v="11.95"/>
    <x v="178"/>
    <x v="0"/>
    <x v="1"/>
    <x v="1"/>
  </r>
  <r>
    <x v="459"/>
    <x v="389"/>
    <x v="448"/>
    <s v="E-D-2.5"/>
    <n v="5"/>
    <x v="448"/>
    <s v="skeetsde@answers.com"/>
    <x v="0"/>
    <s v="Exc"/>
    <s v="D"/>
    <x v="2"/>
    <n v="27.945"/>
    <x v="141"/>
    <x v="1"/>
    <x v="2"/>
    <x v="0"/>
  </r>
  <r>
    <x v="460"/>
    <x v="229"/>
    <x v="449"/>
    <s v="L-D-2.5"/>
    <n v="2"/>
    <x v="449"/>
    <s v=""/>
    <x v="0"/>
    <s v="Lib"/>
    <s v="D"/>
    <x v="2"/>
    <n v="29.784999999999997"/>
    <x v="120"/>
    <x v="3"/>
    <x v="2"/>
    <x v="0"/>
  </r>
  <r>
    <x v="461"/>
    <x v="390"/>
    <x v="450"/>
    <s v="L-L-0.5"/>
    <n v="6"/>
    <x v="450"/>
    <s v="kcakedg@huffingtonpost.com"/>
    <x v="0"/>
    <s v="Lib"/>
    <s v="L"/>
    <x v="1"/>
    <n v="9.51"/>
    <x v="30"/>
    <x v="3"/>
    <x v="1"/>
    <x v="1"/>
  </r>
  <r>
    <x v="462"/>
    <x v="391"/>
    <x v="451"/>
    <s v="R-L-0.2"/>
    <n v="6"/>
    <x v="451"/>
    <s v="mhanseddh@instagram.com"/>
    <x v="1"/>
    <s v="Rob"/>
    <s v="L"/>
    <x v="3"/>
    <n v="3.5849999999999995"/>
    <x v="137"/>
    <x v="0"/>
    <x v="1"/>
    <x v="0"/>
  </r>
  <r>
    <x v="463"/>
    <x v="117"/>
    <x v="452"/>
    <s v="L-M-0.5"/>
    <n v="6"/>
    <x v="452"/>
    <s v="fkienleindi@trellian.com"/>
    <x v="1"/>
    <s v="Lib"/>
    <s v="M"/>
    <x v="1"/>
    <n v="8.73"/>
    <x v="28"/>
    <x v="3"/>
    <x v="0"/>
    <x v="0"/>
  </r>
  <r>
    <x v="464"/>
    <x v="392"/>
    <x v="453"/>
    <s v="E-D-1"/>
    <n v="6"/>
    <x v="453"/>
    <s v="kegglestonedj@sphinn.com"/>
    <x v="1"/>
    <s v="Exc"/>
    <s v="D"/>
    <x v="0"/>
    <n v="12.15"/>
    <x v="118"/>
    <x v="1"/>
    <x v="2"/>
    <x v="1"/>
  </r>
  <r>
    <x v="465"/>
    <x v="393"/>
    <x v="454"/>
    <s v="R-M-0.2"/>
    <n v="5"/>
    <x v="454"/>
    <s v="bsemkinsdk@unc.edu"/>
    <x v="1"/>
    <s v="Rob"/>
    <s v="M"/>
    <x v="3"/>
    <n v="2.9849999999999999"/>
    <x v="128"/>
    <x v="0"/>
    <x v="0"/>
    <x v="0"/>
  </r>
  <r>
    <x v="466"/>
    <x v="394"/>
    <x v="455"/>
    <s v="L-L-1"/>
    <n v="6"/>
    <x v="455"/>
    <s v="slorenzettidl@is.gd"/>
    <x v="0"/>
    <s v="Lib"/>
    <s v="L"/>
    <x v="0"/>
    <n v="15.85"/>
    <x v="179"/>
    <x v="3"/>
    <x v="1"/>
    <x v="1"/>
  </r>
  <r>
    <x v="467"/>
    <x v="137"/>
    <x v="456"/>
    <s v="L-D-0.5"/>
    <n v="2"/>
    <x v="456"/>
    <s v="bgiannazzidm@apple.com"/>
    <x v="0"/>
    <s v="Lib"/>
    <s v="D"/>
    <x v="1"/>
    <n v="7.77"/>
    <x v="42"/>
    <x v="3"/>
    <x v="2"/>
    <x v="1"/>
  </r>
  <r>
    <x v="468"/>
    <x v="395"/>
    <x v="457"/>
    <s v="L-D-0.2"/>
    <n v="6"/>
    <x v="457"/>
    <s v=""/>
    <x v="0"/>
    <s v="Lib"/>
    <s v="D"/>
    <x v="3"/>
    <n v="3.8849999999999998"/>
    <x v="102"/>
    <x v="3"/>
    <x v="2"/>
    <x v="1"/>
  </r>
  <r>
    <x v="469"/>
    <x v="396"/>
    <x v="458"/>
    <s v="E-M-0.2"/>
    <n v="1"/>
    <x v="458"/>
    <s v="ulethbrigdo@hc360.com"/>
    <x v="0"/>
    <s v="Exc"/>
    <s v="M"/>
    <x v="3"/>
    <n v="4.125"/>
    <x v="83"/>
    <x v="1"/>
    <x v="0"/>
    <x v="0"/>
  </r>
  <r>
    <x v="470"/>
    <x v="189"/>
    <x v="459"/>
    <s v="R-M-0.5"/>
    <n v="6"/>
    <x v="459"/>
    <s v="sfarnishdp@dmoz.org"/>
    <x v="2"/>
    <s v="Rob"/>
    <s v="M"/>
    <x v="1"/>
    <n v="5.97"/>
    <x v="27"/>
    <x v="0"/>
    <x v="0"/>
    <x v="1"/>
  </r>
  <r>
    <x v="471"/>
    <x v="8"/>
    <x v="460"/>
    <s v="L-L-1"/>
    <n v="2"/>
    <x v="460"/>
    <s v="fjecockdq@unicef.org"/>
    <x v="0"/>
    <s v="Lib"/>
    <s v="L"/>
    <x v="0"/>
    <n v="15.85"/>
    <x v="124"/>
    <x v="3"/>
    <x v="1"/>
    <x v="1"/>
  </r>
  <r>
    <x v="472"/>
    <x v="397"/>
    <x v="461"/>
    <s v="L-L-1"/>
    <n v="5"/>
    <x v="461"/>
    <s v=""/>
    <x v="0"/>
    <s v="Lib"/>
    <s v="L"/>
    <x v="0"/>
    <n v="15.85"/>
    <x v="180"/>
    <x v="3"/>
    <x v="1"/>
    <x v="0"/>
  </r>
  <r>
    <x v="473"/>
    <x v="398"/>
    <x v="462"/>
    <s v="E-D-0.2"/>
    <n v="3"/>
    <x v="462"/>
    <s v="hpallisterds@ning.com"/>
    <x v="0"/>
    <s v="Exc"/>
    <s v="D"/>
    <x v="3"/>
    <n v="3.645"/>
    <x v="47"/>
    <x v="1"/>
    <x v="2"/>
    <x v="1"/>
  </r>
  <r>
    <x v="474"/>
    <x v="399"/>
    <x v="463"/>
    <s v="A-D-1"/>
    <n v="4"/>
    <x v="463"/>
    <s v="cmershdt@drupal.org"/>
    <x v="1"/>
    <s v="Ara"/>
    <s v="D"/>
    <x v="0"/>
    <n v="9.9499999999999993"/>
    <x v="10"/>
    <x v="2"/>
    <x v="2"/>
    <x v="1"/>
  </r>
  <r>
    <x v="475"/>
    <x v="400"/>
    <x v="464"/>
    <s v="R-M-1"/>
    <n v="5"/>
    <x v="464"/>
    <s v="murione5@alexa.com"/>
    <x v="1"/>
    <s v="Rob"/>
    <s v="M"/>
    <x v="0"/>
    <n v="9.9499999999999993"/>
    <x v="12"/>
    <x v="0"/>
    <x v="0"/>
    <x v="0"/>
  </r>
  <r>
    <x v="476"/>
    <x v="401"/>
    <x v="465"/>
    <s v="R-D-0.2"/>
    <n v="3"/>
    <x v="465"/>
    <s v=""/>
    <x v="1"/>
    <s v="Rob"/>
    <s v="D"/>
    <x v="3"/>
    <n v="2.6849999999999996"/>
    <x v="36"/>
    <x v="0"/>
    <x v="2"/>
    <x v="0"/>
  </r>
  <r>
    <x v="477"/>
    <x v="402"/>
    <x v="466"/>
    <s v="R-L-1"/>
    <n v="4"/>
    <x v="466"/>
    <s v=""/>
    <x v="0"/>
    <s v="Rob"/>
    <s v="L"/>
    <x v="0"/>
    <n v="11.95"/>
    <x v="62"/>
    <x v="0"/>
    <x v="1"/>
    <x v="1"/>
  </r>
  <r>
    <x v="478"/>
    <x v="6"/>
    <x v="467"/>
    <s v="R-M-0.2"/>
    <n v="4"/>
    <x v="467"/>
    <s v="gduckerdx@patch.com"/>
    <x v="2"/>
    <s v="Rob"/>
    <s v="M"/>
    <x v="3"/>
    <n v="2.9849999999999999"/>
    <x v="22"/>
    <x v="0"/>
    <x v="0"/>
    <x v="1"/>
  </r>
  <r>
    <x v="478"/>
    <x v="6"/>
    <x v="467"/>
    <s v="E-M-0.2"/>
    <n v="4"/>
    <x v="467"/>
    <s v="gduckerdx@patch.com"/>
    <x v="2"/>
    <s v="Exc"/>
    <s v="M"/>
    <x v="3"/>
    <n v="4.125"/>
    <x v="38"/>
    <x v="1"/>
    <x v="0"/>
    <x v="1"/>
  </r>
  <r>
    <x v="478"/>
    <x v="6"/>
    <x v="467"/>
    <s v="L-D-1"/>
    <n v="4"/>
    <x v="28"/>
    <s v="gduckerdx@patch.com"/>
    <x v="2"/>
    <s v="Lib"/>
    <s v="D"/>
    <x v="0"/>
    <n v="12.95"/>
    <x v="67"/>
    <x v="3"/>
    <x v="2"/>
    <x v="1"/>
  </r>
  <r>
    <x v="478"/>
    <x v="6"/>
    <x v="467"/>
    <s v="L-L-0.2"/>
    <n v="3"/>
    <x v="28"/>
    <s v="gduckerdx@patch.com"/>
    <x v="2"/>
    <s v="Lib"/>
    <s v="L"/>
    <x v="3"/>
    <n v="4.7549999999999999"/>
    <x v="181"/>
    <x v="3"/>
    <x v="1"/>
    <x v="1"/>
  </r>
  <r>
    <x v="479"/>
    <x v="403"/>
    <x v="468"/>
    <s v="L-M-0.2"/>
    <n v="6"/>
    <x v="468"/>
    <s v="wstearleye1@census.gov"/>
    <x v="0"/>
    <s v="Lib"/>
    <s v="M"/>
    <x v="3"/>
    <n v="4.3650000000000002"/>
    <x v="50"/>
    <x v="3"/>
    <x v="0"/>
    <x v="1"/>
  </r>
  <r>
    <x v="480"/>
    <x v="404"/>
    <x v="469"/>
    <s v="A-L-1"/>
    <n v="2"/>
    <x v="469"/>
    <s v="dwincere2@marriott.com"/>
    <x v="0"/>
    <s v="Ara"/>
    <s v="L"/>
    <x v="0"/>
    <n v="12.95"/>
    <x v="109"/>
    <x v="2"/>
    <x v="1"/>
    <x v="0"/>
  </r>
  <r>
    <x v="481"/>
    <x v="21"/>
    <x v="470"/>
    <s v="A-L-2.5"/>
    <n v="3"/>
    <x v="470"/>
    <s v="plyfielde3@baidu.com"/>
    <x v="0"/>
    <s v="Ara"/>
    <s v="L"/>
    <x v="2"/>
    <n v="29.784999999999997"/>
    <x v="49"/>
    <x v="2"/>
    <x v="1"/>
    <x v="0"/>
  </r>
  <r>
    <x v="482"/>
    <x v="239"/>
    <x v="471"/>
    <s v="L-D-0.5"/>
    <n v="6"/>
    <x v="471"/>
    <s v="hperrise4@studiopress.com"/>
    <x v="1"/>
    <s v="Lib"/>
    <s v="D"/>
    <x v="1"/>
    <n v="7.77"/>
    <x v="162"/>
    <x v="3"/>
    <x v="2"/>
    <x v="1"/>
  </r>
  <r>
    <x v="483"/>
    <x v="405"/>
    <x v="464"/>
    <s v="A-D-1"/>
    <n v="3"/>
    <x v="464"/>
    <s v="murione5@alexa.com"/>
    <x v="1"/>
    <s v="Ara"/>
    <s v="D"/>
    <x v="0"/>
    <n v="9.9499999999999993"/>
    <x v="44"/>
    <x v="2"/>
    <x v="2"/>
    <x v="0"/>
  </r>
  <r>
    <x v="484"/>
    <x v="292"/>
    <x v="472"/>
    <s v="R-L-0.2"/>
    <n v="3"/>
    <x v="472"/>
    <s v="ckide6@narod.ru"/>
    <x v="1"/>
    <s v="Rob"/>
    <s v="L"/>
    <x v="3"/>
    <n v="3.5849999999999995"/>
    <x v="127"/>
    <x v="0"/>
    <x v="1"/>
    <x v="0"/>
  </r>
  <r>
    <x v="485"/>
    <x v="117"/>
    <x v="473"/>
    <s v="A-M-0.2"/>
    <n v="4"/>
    <x v="473"/>
    <s v="cbeinee7@xinhuanet.com"/>
    <x v="0"/>
    <s v="Ara"/>
    <s v="M"/>
    <x v="3"/>
    <n v="3.375"/>
    <x v="72"/>
    <x v="2"/>
    <x v="0"/>
    <x v="0"/>
  </r>
  <r>
    <x v="486"/>
    <x v="406"/>
    <x v="474"/>
    <s v="L-L-1"/>
    <n v="3"/>
    <x v="474"/>
    <s v="cbakeupe8@globo.com"/>
    <x v="0"/>
    <s v="Lib"/>
    <s v="L"/>
    <x v="0"/>
    <n v="15.85"/>
    <x v="46"/>
    <x v="3"/>
    <x v="1"/>
    <x v="1"/>
  </r>
  <r>
    <x v="487"/>
    <x v="407"/>
    <x v="475"/>
    <s v="L-L-1"/>
    <n v="5"/>
    <x v="475"/>
    <s v="nhelkine9@example.com"/>
    <x v="0"/>
    <s v="Lib"/>
    <s v="L"/>
    <x v="0"/>
    <n v="15.85"/>
    <x v="180"/>
    <x v="3"/>
    <x v="1"/>
    <x v="1"/>
  </r>
  <r>
    <x v="488"/>
    <x v="408"/>
    <x v="476"/>
    <s v="L-M-0.2"/>
    <n v="6"/>
    <x v="476"/>
    <s v="pwitheringtonea@networkadvertising.org"/>
    <x v="0"/>
    <s v="Lib"/>
    <s v="M"/>
    <x v="3"/>
    <n v="4.3650000000000002"/>
    <x v="50"/>
    <x v="3"/>
    <x v="0"/>
    <x v="0"/>
  </r>
  <r>
    <x v="489"/>
    <x v="409"/>
    <x v="477"/>
    <s v="R-L-0.5"/>
    <n v="3"/>
    <x v="477"/>
    <s v="ttilzeyeb@hostgator.com"/>
    <x v="0"/>
    <s v="Rob"/>
    <s v="L"/>
    <x v="1"/>
    <n v="7.169999999999999"/>
    <x v="137"/>
    <x v="0"/>
    <x v="1"/>
    <x v="1"/>
  </r>
  <r>
    <x v="490"/>
    <x v="410"/>
    <x v="478"/>
    <s v="R-D-2.5"/>
    <n v="5"/>
    <x v="478"/>
    <s v=""/>
    <x v="0"/>
    <s v="Rob"/>
    <s v="D"/>
    <x v="2"/>
    <n v="20.584999999999997"/>
    <x v="182"/>
    <x v="0"/>
    <x v="2"/>
    <x v="0"/>
  </r>
  <r>
    <x v="491"/>
    <x v="127"/>
    <x v="479"/>
    <s v="L-D-0.2"/>
    <n v="2"/>
    <x v="479"/>
    <s v=""/>
    <x v="0"/>
    <s v="Lib"/>
    <s v="D"/>
    <x v="3"/>
    <n v="3.8849999999999998"/>
    <x v="41"/>
    <x v="3"/>
    <x v="2"/>
    <x v="1"/>
  </r>
  <r>
    <x v="492"/>
    <x v="411"/>
    <x v="480"/>
    <s v="E-D-2.5"/>
    <n v="5"/>
    <x v="480"/>
    <s v="kimortsee@alexa.com"/>
    <x v="0"/>
    <s v="Exc"/>
    <s v="D"/>
    <x v="2"/>
    <n v="27.945"/>
    <x v="141"/>
    <x v="1"/>
    <x v="2"/>
    <x v="1"/>
  </r>
  <r>
    <x v="493"/>
    <x v="112"/>
    <x v="464"/>
    <s v="A-D-0.5"/>
    <n v="2"/>
    <x v="28"/>
    <s v="murione5@alexa.com"/>
    <x v="1"/>
    <s v="Ara"/>
    <s v="D"/>
    <x v="1"/>
    <n v="5.97"/>
    <x v="22"/>
    <x v="2"/>
    <x v="2"/>
    <x v="0"/>
  </r>
  <r>
    <x v="494"/>
    <x v="412"/>
    <x v="481"/>
    <s v="L-D-0.2"/>
    <n v="1"/>
    <x v="481"/>
    <s v="marmisteadeg@blogtalkradio.com"/>
    <x v="0"/>
    <s v="Lib"/>
    <s v="D"/>
    <x v="3"/>
    <n v="3.8849999999999998"/>
    <x v="84"/>
    <x v="3"/>
    <x v="2"/>
    <x v="1"/>
  </r>
  <r>
    <x v="494"/>
    <x v="412"/>
    <x v="481"/>
    <s v="R-M-1"/>
    <n v="4"/>
    <x v="481"/>
    <s v="marmisteadeg@blogtalkradio.com"/>
    <x v="0"/>
    <s v="Rob"/>
    <s v="M"/>
    <x v="0"/>
    <n v="9.9499999999999993"/>
    <x v="10"/>
    <x v="0"/>
    <x v="0"/>
    <x v="1"/>
  </r>
  <r>
    <x v="495"/>
    <x v="413"/>
    <x v="482"/>
    <s v="R-M-0.5"/>
    <n v="5"/>
    <x v="482"/>
    <s v="vupstoneei@google.pl"/>
    <x v="0"/>
    <s v="Rob"/>
    <s v="M"/>
    <x v="1"/>
    <n v="5.97"/>
    <x v="44"/>
    <x v="0"/>
    <x v="0"/>
    <x v="1"/>
  </r>
  <r>
    <x v="496"/>
    <x v="414"/>
    <x v="483"/>
    <s v="L-D-2.5"/>
    <n v="1"/>
    <x v="483"/>
    <s v="bbeelbyej@rediff.com"/>
    <x v="1"/>
    <s v="Lib"/>
    <s v="D"/>
    <x v="2"/>
    <n v="29.784999999999997"/>
    <x v="91"/>
    <x v="3"/>
    <x v="2"/>
    <x v="1"/>
  </r>
  <r>
    <x v="497"/>
    <x v="415"/>
    <x v="484"/>
    <s v="L-L-2.5"/>
    <n v="2"/>
    <x v="484"/>
    <s v=""/>
    <x v="0"/>
    <s v="Lib"/>
    <s v="L"/>
    <x v="2"/>
    <n v="36.454999999999998"/>
    <x v="37"/>
    <x v="3"/>
    <x v="1"/>
    <x v="1"/>
  </r>
  <r>
    <x v="498"/>
    <x v="416"/>
    <x v="485"/>
    <s v="R-D-0.2"/>
    <n v="5"/>
    <x v="485"/>
    <s v=""/>
    <x v="0"/>
    <s v="Rob"/>
    <s v="D"/>
    <x v="3"/>
    <n v="2.6849999999999996"/>
    <x v="148"/>
    <x v="0"/>
    <x v="2"/>
    <x v="0"/>
  </r>
  <r>
    <x v="499"/>
    <x v="417"/>
    <x v="486"/>
    <s v="E-M-2.5"/>
    <n v="4"/>
    <x v="486"/>
    <s v="wspeechlyem@amazon.com"/>
    <x v="0"/>
    <s v="Exc"/>
    <s v="M"/>
    <x v="2"/>
    <n v="31.624999999999996"/>
    <x v="177"/>
    <x v="1"/>
    <x v="0"/>
    <x v="0"/>
  </r>
  <r>
    <x v="500"/>
    <x v="418"/>
    <x v="487"/>
    <s v="E-M-0.5"/>
    <n v="5"/>
    <x v="487"/>
    <s v="iphillpoten@buzzfeed.com"/>
    <x v="2"/>
    <s v="Exc"/>
    <s v="M"/>
    <x v="1"/>
    <n v="8.25"/>
    <x v="1"/>
    <x v="1"/>
    <x v="0"/>
    <x v="1"/>
  </r>
  <r>
    <x v="501"/>
    <x v="419"/>
    <x v="488"/>
    <s v="E-L-0.5"/>
    <n v="6"/>
    <x v="488"/>
    <s v="lpennaccieo@statcounter.com"/>
    <x v="0"/>
    <s v="Exc"/>
    <s v="L"/>
    <x v="1"/>
    <n v="8.91"/>
    <x v="119"/>
    <x v="1"/>
    <x v="1"/>
    <x v="1"/>
  </r>
  <r>
    <x v="502"/>
    <x v="420"/>
    <x v="489"/>
    <s v="R-M-1"/>
    <n v="6"/>
    <x v="489"/>
    <s v="sarpinep@moonfruit.com"/>
    <x v="0"/>
    <s v="Rob"/>
    <s v="M"/>
    <x v="0"/>
    <n v="9.9499999999999993"/>
    <x v="33"/>
    <x v="0"/>
    <x v="0"/>
    <x v="1"/>
  </r>
  <r>
    <x v="503"/>
    <x v="421"/>
    <x v="490"/>
    <s v="R-M-1"/>
    <n v="6"/>
    <x v="490"/>
    <s v="dfrieseq@cargocollective.com"/>
    <x v="0"/>
    <s v="Rob"/>
    <s v="M"/>
    <x v="0"/>
    <n v="9.9499999999999993"/>
    <x v="33"/>
    <x v="0"/>
    <x v="0"/>
    <x v="1"/>
  </r>
  <r>
    <x v="504"/>
    <x v="422"/>
    <x v="491"/>
    <s v="R-D-1"/>
    <n v="5"/>
    <x v="491"/>
    <s v="rsharerer@flavors.me"/>
    <x v="0"/>
    <s v="Rob"/>
    <s v="D"/>
    <x v="0"/>
    <n v="8.9499999999999993"/>
    <x v="153"/>
    <x v="0"/>
    <x v="2"/>
    <x v="1"/>
  </r>
  <r>
    <x v="505"/>
    <x v="423"/>
    <x v="492"/>
    <s v="E-M-0.5"/>
    <n v="2"/>
    <x v="492"/>
    <s v="nnasebyes@umich.edu"/>
    <x v="0"/>
    <s v="Exc"/>
    <s v="M"/>
    <x v="1"/>
    <n v="8.25"/>
    <x v="38"/>
    <x v="1"/>
    <x v="0"/>
    <x v="0"/>
  </r>
  <r>
    <x v="506"/>
    <x v="109"/>
    <x v="493"/>
    <s v="R-D-0.5"/>
    <n v="4"/>
    <x v="493"/>
    <s v=""/>
    <x v="0"/>
    <s v="Rob"/>
    <s v="D"/>
    <x v="1"/>
    <n v="5.3699999999999992"/>
    <x v="155"/>
    <x v="0"/>
    <x v="2"/>
    <x v="1"/>
  </r>
  <r>
    <x v="507"/>
    <x v="204"/>
    <x v="494"/>
    <s v="R-M-2.5"/>
    <n v="2"/>
    <x v="494"/>
    <s v="koculleneu@ca.gov"/>
    <x v="1"/>
    <s v="Rob"/>
    <s v="M"/>
    <x v="2"/>
    <n v="22.884999999999998"/>
    <x v="135"/>
    <x v="0"/>
    <x v="0"/>
    <x v="0"/>
  </r>
  <r>
    <x v="508"/>
    <x v="424"/>
    <x v="495"/>
    <s v="L-L-0.2"/>
    <n v="2"/>
    <x v="495"/>
    <s v=""/>
    <x v="1"/>
    <s v="Lib"/>
    <s v="L"/>
    <x v="3"/>
    <n v="4.7549999999999999"/>
    <x v="54"/>
    <x v="3"/>
    <x v="1"/>
    <x v="1"/>
  </r>
  <r>
    <x v="509"/>
    <x v="13"/>
    <x v="464"/>
    <s v="R-D-0.2"/>
    <n v="3"/>
    <x v="28"/>
    <s v="murione5@alexa.com"/>
    <x v="1"/>
    <s v="Rob"/>
    <s v="D"/>
    <x v="3"/>
    <n v="2.6849999999999996"/>
    <x v="36"/>
    <x v="0"/>
    <x v="2"/>
    <x v="0"/>
  </r>
  <r>
    <x v="510"/>
    <x v="224"/>
    <x v="496"/>
    <s v="E-D-2.5"/>
    <n v="4"/>
    <x v="496"/>
    <s v="hbranganex@woothemes.com"/>
    <x v="0"/>
    <s v="Exc"/>
    <s v="D"/>
    <x v="2"/>
    <n v="27.945"/>
    <x v="150"/>
    <x v="1"/>
    <x v="2"/>
    <x v="0"/>
  </r>
  <r>
    <x v="511"/>
    <x v="220"/>
    <x v="497"/>
    <s v="R-D-0.2"/>
    <n v="4"/>
    <x v="497"/>
    <s v="agallyoney@engadget.com"/>
    <x v="0"/>
    <s v="Rob"/>
    <s v="D"/>
    <x v="3"/>
    <n v="2.6849999999999996"/>
    <x v="175"/>
    <x v="0"/>
    <x v="2"/>
    <x v="0"/>
  </r>
  <r>
    <x v="512"/>
    <x v="91"/>
    <x v="498"/>
    <s v="R-D-0.5"/>
    <n v="5"/>
    <x v="498"/>
    <s v="bdomangeez@yahoo.co.jp"/>
    <x v="0"/>
    <s v="Rob"/>
    <s v="D"/>
    <x v="1"/>
    <n v="5.3699999999999992"/>
    <x v="51"/>
    <x v="0"/>
    <x v="2"/>
    <x v="1"/>
  </r>
  <r>
    <x v="513"/>
    <x v="425"/>
    <x v="499"/>
    <s v="L-L-1"/>
    <n v="4"/>
    <x v="499"/>
    <s v="koslerf0@gmpg.org"/>
    <x v="0"/>
    <s v="Lib"/>
    <s v="L"/>
    <x v="0"/>
    <n v="15.85"/>
    <x v="165"/>
    <x v="3"/>
    <x v="1"/>
    <x v="0"/>
  </r>
  <r>
    <x v="514"/>
    <x v="426"/>
    <x v="500"/>
    <s v="A-D-2.5"/>
    <n v="1"/>
    <x v="500"/>
    <s v=""/>
    <x v="1"/>
    <s v="Ara"/>
    <s v="D"/>
    <x v="2"/>
    <n v="22.884999999999998"/>
    <x v="156"/>
    <x v="2"/>
    <x v="2"/>
    <x v="0"/>
  </r>
  <r>
    <x v="515"/>
    <x v="427"/>
    <x v="501"/>
    <s v="A-M-2.5"/>
    <n v="4"/>
    <x v="501"/>
    <s v="zpellettf2@dailymotion.com"/>
    <x v="0"/>
    <s v="Ara"/>
    <s v="M"/>
    <x v="2"/>
    <n v="25.874999999999996"/>
    <x v="68"/>
    <x v="2"/>
    <x v="0"/>
    <x v="1"/>
  </r>
  <r>
    <x v="516"/>
    <x v="428"/>
    <x v="502"/>
    <s v="R-L-2.5"/>
    <n v="2"/>
    <x v="502"/>
    <s v="isprakesf3@spiegel.de"/>
    <x v="0"/>
    <s v="Rob"/>
    <s v="L"/>
    <x v="2"/>
    <n v="27.484999999999996"/>
    <x v="4"/>
    <x v="0"/>
    <x v="1"/>
    <x v="1"/>
  </r>
  <r>
    <x v="517"/>
    <x v="383"/>
    <x v="503"/>
    <s v="A-L-0.5"/>
    <n v="2"/>
    <x v="503"/>
    <s v="hfromantf4@ucsd.edu"/>
    <x v="0"/>
    <s v="Ara"/>
    <s v="L"/>
    <x v="1"/>
    <n v="7.77"/>
    <x v="42"/>
    <x v="2"/>
    <x v="1"/>
    <x v="1"/>
  </r>
  <r>
    <x v="518"/>
    <x v="156"/>
    <x v="504"/>
    <s v="L-D-0.2"/>
    <n v="4"/>
    <x v="504"/>
    <s v="rflearf5@artisteer.com"/>
    <x v="2"/>
    <s v="Lib"/>
    <s v="D"/>
    <x v="3"/>
    <n v="3.8849999999999998"/>
    <x v="42"/>
    <x v="3"/>
    <x v="2"/>
    <x v="1"/>
  </r>
  <r>
    <x v="519"/>
    <x v="429"/>
    <x v="505"/>
    <s v="E-D-2.5"/>
    <n v="3"/>
    <x v="505"/>
    <s v=""/>
    <x v="1"/>
    <s v="Exc"/>
    <s v="D"/>
    <x v="2"/>
    <n v="27.945"/>
    <x v="171"/>
    <x v="1"/>
    <x v="2"/>
    <x v="1"/>
  </r>
  <r>
    <x v="520"/>
    <x v="103"/>
    <x v="506"/>
    <s v="R-L-0.2"/>
    <n v="3"/>
    <x v="506"/>
    <s v="wlightollersf9@baidu.com"/>
    <x v="0"/>
    <s v="Rob"/>
    <s v="L"/>
    <x v="3"/>
    <n v="3.5849999999999995"/>
    <x v="127"/>
    <x v="0"/>
    <x v="1"/>
    <x v="0"/>
  </r>
  <r>
    <x v="521"/>
    <x v="361"/>
    <x v="507"/>
    <s v="E-L-0.2"/>
    <n v="3"/>
    <x v="507"/>
    <s v="bmundenf8@elpais.com"/>
    <x v="0"/>
    <s v="Exc"/>
    <s v="L"/>
    <x v="3"/>
    <n v="4.4550000000000001"/>
    <x v="77"/>
    <x v="1"/>
    <x v="1"/>
    <x v="0"/>
  </r>
  <r>
    <x v="522"/>
    <x v="120"/>
    <x v="506"/>
    <s v="E-L-0.2"/>
    <n v="4"/>
    <x v="506"/>
    <s v="wlightollersf9@baidu.com"/>
    <x v="0"/>
    <s v="Exc"/>
    <s v="L"/>
    <x v="3"/>
    <n v="4.4550000000000001"/>
    <x v="58"/>
    <x v="1"/>
    <x v="1"/>
    <x v="0"/>
  </r>
  <r>
    <x v="523"/>
    <x v="430"/>
    <x v="508"/>
    <s v="L-D-0.2"/>
    <n v="6"/>
    <x v="508"/>
    <s v="nbrakespearfa@rediff.com"/>
    <x v="0"/>
    <s v="Lib"/>
    <s v="D"/>
    <x v="3"/>
    <n v="3.8849999999999998"/>
    <x v="102"/>
    <x v="3"/>
    <x v="2"/>
    <x v="0"/>
  </r>
  <r>
    <x v="524"/>
    <x v="125"/>
    <x v="509"/>
    <s v="E-D-0.2"/>
    <n v="2"/>
    <x v="509"/>
    <s v="mglawsopfb@reverbnation.com"/>
    <x v="0"/>
    <s v="Exc"/>
    <s v="D"/>
    <x v="3"/>
    <n v="3.645"/>
    <x v="35"/>
    <x v="1"/>
    <x v="2"/>
    <x v="1"/>
  </r>
  <r>
    <x v="525"/>
    <x v="431"/>
    <x v="510"/>
    <s v="E-L-0.2"/>
    <n v="4"/>
    <x v="510"/>
    <s v="galbertsfc@etsy.com"/>
    <x v="2"/>
    <s v="Exc"/>
    <s v="L"/>
    <x v="3"/>
    <n v="4.4550000000000001"/>
    <x v="58"/>
    <x v="1"/>
    <x v="1"/>
    <x v="0"/>
  </r>
  <r>
    <x v="526"/>
    <x v="40"/>
    <x v="511"/>
    <s v="E-M-1"/>
    <n v="5"/>
    <x v="511"/>
    <s v="vpolglasefd@about.me"/>
    <x v="0"/>
    <s v="Exc"/>
    <s v="M"/>
    <x v="0"/>
    <n v="13.75"/>
    <x v="85"/>
    <x v="1"/>
    <x v="0"/>
    <x v="1"/>
  </r>
  <r>
    <x v="527"/>
    <x v="432"/>
    <x v="512"/>
    <s v="R-L-2.5"/>
    <n v="2"/>
    <x v="512"/>
    <s v=""/>
    <x v="2"/>
    <s v="Rob"/>
    <s v="L"/>
    <x v="2"/>
    <n v="27.484999999999996"/>
    <x v="4"/>
    <x v="0"/>
    <x v="1"/>
    <x v="0"/>
  </r>
  <r>
    <x v="528"/>
    <x v="254"/>
    <x v="513"/>
    <s v="E-M-1"/>
    <n v="6"/>
    <x v="513"/>
    <s v="sbuschff@so-net.ne.jp"/>
    <x v="1"/>
    <s v="Exc"/>
    <s v="M"/>
    <x v="0"/>
    <n v="13.75"/>
    <x v="121"/>
    <x v="1"/>
    <x v="0"/>
    <x v="1"/>
  </r>
  <r>
    <x v="529"/>
    <x v="219"/>
    <x v="514"/>
    <s v="L-M-0.2"/>
    <n v="2"/>
    <x v="514"/>
    <s v="craisbeckfg@webnode.com"/>
    <x v="0"/>
    <s v="Lib"/>
    <s v="M"/>
    <x v="3"/>
    <n v="4.3650000000000002"/>
    <x v="31"/>
    <x v="3"/>
    <x v="0"/>
    <x v="0"/>
  </r>
  <r>
    <x v="530"/>
    <x v="433"/>
    <x v="464"/>
    <s v="E-L-1"/>
    <n v="4"/>
    <x v="28"/>
    <s v="murione5@alexa.com"/>
    <x v="1"/>
    <s v="Exc"/>
    <s v="L"/>
    <x v="0"/>
    <n v="14.85"/>
    <x v="48"/>
    <x v="1"/>
    <x v="1"/>
    <x v="0"/>
  </r>
  <r>
    <x v="531"/>
    <x v="434"/>
    <x v="515"/>
    <s v="L-D-0.2"/>
    <n v="4"/>
    <x v="515"/>
    <s v=""/>
    <x v="0"/>
    <s v="Lib"/>
    <s v="D"/>
    <x v="3"/>
    <n v="3.8849999999999998"/>
    <x v="42"/>
    <x v="3"/>
    <x v="2"/>
    <x v="0"/>
  </r>
  <r>
    <x v="532"/>
    <x v="435"/>
    <x v="516"/>
    <s v="A-L-1"/>
    <n v="3"/>
    <x v="516"/>
    <s v="raynoldfj@ustream.tv"/>
    <x v="0"/>
    <s v="Ara"/>
    <s v="L"/>
    <x v="0"/>
    <n v="12.95"/>
    <x v="5"/>
    <x v="2"/>
    <x v="1"/>
    <x v="0"/>
  </r>
  <r>
    <x v="533"/>
    <x v="436"/>
    <x v="517"/>
    <s v="E-M-2.5"/>
    <n v="6"/>
    <x v="517"/>
    <s v=""/>
    <x v="0"/>
    <s v="Exc"/>
    <s v="M"/>
    <x v="2"/>
    <n v="31.624999999999996"/>
    <x v="152"/>
    <x v="1"/>
    <x v="0"/>
    <x v="0"/>
  </r>
  <r>
    <x v="534"/>
    <x v="437"/>
    <x v="518"/>
    <s v="A-D-0.2"/>
    <n v="6"/>
    <x v="518"/>
    <s v=""/>
    <x v="1"/>
    <s v="Ara"/>
    <s v="D"/>
    <x v="3"/>
    <n v="2.9849999999999999"/>
    <x v="8"/>
    <x v="2"/>
    <x v="2"/>
    <x v="0"/>
  </r>
  <r>
    <x v="535"/>
    <x v="438"/>
    <x v="519"/>
    <s v="L-L-0.2"/>
    <n v="6"/>
    <x v="519"/>
    <s v="bgrecefm@naver.com"/>
    <x v="2"/>
    <s v="Lib"/>
    <s v="L"/>
    <x v="3"/>
    <n v="4.7549999999999999"/>
    <x v="32"/>
    <x v="3"/>
    <x v="1"/>
    <x v="1"/>
  </r>
  <r>
    <x v="536"/>
    <x v="439"/>
    <x v="520"/>
    <s v="E-M-1"/>
    <n v="6"/>
    <x v="520"/>
    <s v="dflintiffg1@e-recht24.de"/>
    <x v="2"/>
    <s v="Exc"/>
    <s v="M"/>
    <x v="0"/>
    <n v="13.75"/>
    <x v="121"/>
    <x v="1"/>
    <x v="0"/>
    <x v="1"/>
  </r>
  <r>
    <x v="537"/>
    <x v="175"/>
    <x v="521"/>
    <s v="R-L-0.5"/>
    <n v="2"/>
    <x v="521"/>
    <s v="athysfo@cdc.gov"/>
    <x v="0"/>
    <s v="Rob"/>
    <s v="L"/>
    <x v="1"/>
    <n v="7.169999999999999"/>
    <x v="79"/>
    <x v="0"/>
    <x v="1"/>
    <x v="1"/>
  </r>
  <r>
    <x v="538"/>
    <x v="440"/>
    <x v="522"/>
    <s v="R-D-2.5"/>
    <n v="4"/>
    <x v="522"/>
    <s v="jchuggfp@about.me"/>
    <x v="0"/>
    <s v="Rob"/>
    <s v="D"/>
    <x v="2"/>
    <n v="20.584999999999997"/>
    <x v="18"/>
    <x v="0"/>
    <x v="2"/>
    <x v="1"/>
  </r>
  <r>
    <x v="539"/>
    <x v="441"/>
    <x v="523"/>
    <s v="A-M-0.2"/>
    <n v="6"/>
    <x v="523"/>
    <s v="akelstonfq@sakura.ne.jp"/>
    <x v="0"/>
    <s v="Ara"/>
    <s v="M"/>
    <x v="3"/>
    <n v="3.375"/>
    <x v="16"/>
    <x v="2"/>
    <x v="0"/>
    <x v="0"/>
  </r>
  <r>
    <x v="540"/>
    <x v="442"/>
    <x v="524"/>
    <s v="R-L-2.5"/>
    <n v="6"/>
    <x v="524"/>
    <s v=""/>
    <x v="1"/>
    <s v="Rob"/>
    <s v="L"/>
    <x v="2"/>
    <n v="27.484999999999996"/>
    <x v="183"/>
    <x v="0"/>
    <x v="1"/>
    <x v="1"/>
  </r>
  <r>
    <x v="541"/>
    <x v="443"/>
    <x v="525"/>
    <s v="L-L-0.2"/>
    <n v="4"/>
    <x v="525"/>
    <s v="cmottramfs@harvard.edu"/>
    <x v="0"/>
    <s v="Lib"/>
    <s v="L"/>
    <x v="3"/>
    <n v="4.7549999999999999"/>
    <x v="81"/>
    <x v="3"/>
    <x v="1"/>
    <x v="0"/>
  </r>
  <r>
    <x v="542"/>
    <x v="216"/>
    <x v="520"/>
    <s v="A-D-2.5"/>
    <n v="6"/>
    <x v="520"/>
    <s v="dflintiffg1@e-recht24.de"/>
    <x v="2"/>
    <s v="Ara"/>
    <s v="D"/>
    <x v="2"/>
    <n v="22.884999999999998"/>
    <x v="170"/>
    <x v="2"/>
    <x v="2"/>
    <x v="1"/>
  </r>
  <r>
    <x v="543"/>
    <x v="444"/>
    <x v="526"/>
    <s v="A-M-0.5"/>
    <n v="4"/>
    <x v="526"/>
    <s v="dsangwinfu@weebly.com"/>
    <x v="0"/>
    <s v="Ara"/>
    <s v="M"/>
    <x v="1"/>
    <n v="6.75"/>
    <x v="25"/>
    <x v="2"/>
    <x v="0"/>
    <x v="1"/>
  </r>
  <r>
    <x v="544"/>
    <x v="37"/>
    <x v="527"/>
    <s v="E-L-0.5"/>
    <n v="4"/>
    <x v="527"/>
    <s v="eaizikowitzfv@virginia.edu"/>
    <x v="2"/>
    <s v="Exc"/>
    <s v="L"/>
    <x v="1"/>
    <n v="8.91"/>
    <x v="70"/>
    <x v="1"/>
    <x v="1"/>
    <x v="1"/>
  </r>
  <r>
    <x v="545"/>
    <x v="445"/>
    <x v="528"/>
    <s v="A-D-0.2"/>
    <n v="2"/>
    <x v="528"/>
    <s v=""/>
    <x v="0"/>
    <s v="Ara"/>
    <s v="D"/>
    <x v="3"/>
    <n v="2.9849999999999999"/>
    <x v="9"/>
    <x v="2"/>
    <x v="2"/>
    <x v="0"/>
  </r>
  <r>
    <x v="546"/>
    <x v="446"/>
    <x v="529"/>
    <s v="A-M-1"/>
    <n v="6"/>
    <x v="529"/>
    <s v="cvenourfx@ask.com"/>
    <x v="0"/>
    <s v="Ara"/>
    <s v="M"/>
    <x v="0"/>
    <n v="11.25"/>
    <x v="173"/>
    <x v="2"/>
    <x v="0"/>
    <x v="1"/>
  </r>
  <r>
    <x v="547"/>
    <x v="245"/>
    <x v="530"/>
    <s v="R-L-0.2"/>
    <n v="6"/>
    <x v="530"/>
    <s v="mharbyfy@163.com"/>
    <x v="0"/>
    <s v="Rob"/>
    <s v="L"/>
    <x v="3"/>
    <n v="3.5849999999999995"/>
    <x v="137"/>
    <x v="0"/>
    <x v="1"/>
    <x v="0"/>
  </r>
  <r>
    <x v="548"/>
    <x v="447"/>
    <x v="531"/>
    <s v="L-M-2.5"/>
    <n v="2"/>
    <x v="531"/>
    <s v="rthickpennyfz@cafepress.com"/>
    <x v="0"/>
    <s v="Lib"/>
    <s v="M"/>
    <x v="2"/>
    <n v="33.464999999999996"/>
    <x v="174"/>
    <x v="3"/>
    <x v="0"/>
    <x v="1"/>
  </r>
  <r>
    <x v="549"/>
    <x v="448"/>
    <x v="532"/>
    <s v="A-D-0.2"/>
    <n v="6"/>
    <x v="532"/>
    <s v="pormerodg0@redcross.org"/>
    <x v="0"/>
    <s v="Ara"/>
    <s v="D"/>
    <x v="3"/>
    <n v="2.9849999999999999"/>
    <x v="8"/>
    <x v="2"/>
    <x v="2"/>
    <x v="1"/>
  </r>
  <r>
    <x v="550"/>
    <x v="344"/>
    <x v="520"/>
    <s v="L-M-1"/>
    <n v="4"/>
    <x v="520"/>
    <s v="dflintiffg1@e-recht24.de"/>
    <x v="2"/>
    <s v="Lib"/>
    <s v="M"/>
    <x v="0"/>
    <n v="14.55"/>
    <x v="125"/>
    <x v="3"/>
    <x v="0"/>
    <x v="1"/>
  </r>
  <r>
    <x v="551"/>
    <x v="152"/>
    <x v="533"/>
    <s v="E-L-0.2"/>
    <n v="3"/>
    <x v="533"/>
    <s v="tzanettig2@gravatar.com"/>
    <x v="1"/>
    <s v="Exc"/>
    <s v="L"/>
    <x v="3"/>
    <n v="4.4550000000000001"/>
    <x v="77"/>
    <x v="1"/>
    <x v="1"/>
    <x v="1"/>
  </r>
  <r>
    <x v="551"/>
    <x v="152"/>
    <x v="533"/>
    <s v="A-M-0.5"/>
    <n v="5"/>
    <x v="533"/>
    <s v="tzanettig2@gravatar.com"/>
    <x v="1"/>
    <s v="Ara"/>
    <s v="M"/>
    <x v="1"/>
    <n v="6.75"/>
    <x v="65"/>
    <x v="2"/>
    <x v="0"/>
    <x v="1"/>
  </r>
  <r>
    <x v="552"/>
    <x v="449"/>
    <x v="534"/>
    <s v="E-L-1"/>
    <n v="3"/>
    <x v="534"/>
    <s v="rkirtleyg4@hatena.ne.jp"/>
    <x v="0"/>
    <s v="Exc"/>
    <s v="L"/>
    <x v="0"/>
    <n v="14.85"/>
    <x v="69"/>
    <x v="1"/>
    <x v="1"/>
    <x v="0"/>
  </r>
  <r>
    <x v="553"/>
    <x v="450"/>
    <x v="535"/>
    <s v="E-L-0.5"/>
    <n v="5"/>
    <x v="535"/>
    <s v="cclemencetg5@weather.com"/>
    <x v="2"/>
    <s v="Exc"/>
    <s v="L"/>
    <x v="1"/>
    <n v="8.91"/>
    <x v="69"/>
    <x v="1"/>
    <x v="1"/>
    <x v="0"/>
  </r>
  <r>
    <x v="554"/>
    <x v="451"/>
    <x v="536"/>
    <s v="E-D-1"/>
    <n v="5"/>
    <x v="536"/>
    <s v="rdonetg6@oakley.com"/>
    <x v="0"/>
    <s v="Exc"/>
    <s v="D"/>
    <x v="0"/>
    <n v="12.15"/>
    <x v="184"/>
    <x v="1"/>
    <x v="2"/>
    <x v="1"/>
  </r>
  <r>
    <x v="555"/>
    <x v="83"/>
    <x v="537"/>
    <s v="R-L-0.2"/>
    <n v="1"/>
    <x v="537"/>
    <s v="sgaweng7@creativecommons.org"/>
    <x v="0"/>
    <s v="Rob"/>
    <s v="L"/>
    <x v="3"/>
    <n v="3.5849999999999995"/>
    <x v="60"/>
    <x v="0"/>
    <x v="1"/>
    <x v="0"/>
  </r>
  <r>
    <x v="556"/>
    <x v="452"/>
    <x v="538"/>
    <s v="R-L-0.2"/>
    <n v="6"/>
    <x v="538"/>
    <s v="rreadieg8@guardian.co.uk"/>
    <x v="0"/>
    <s v="Rob"/>
    <s v="L"/>
    <x v="3"/>
    <n v="3.5849999999999995"/>
    <x v="137"/>
    <x v="0"/>
    <x v="1"/>
    <x v="1"/>
  </r>
  <r>
    <x v="557"/>
    <x v="453"/>
    <x v="539"/>
    <s v="E-M-0.5"/>
    <n v="2"/>
    <x v="539"/>
    <s v="cverissimogh@theglobeandmail.com"/>
    <x v="2"/>
    <s v="Exc"/>
    <s v="M"/>
    <x v="1"/>
    <n v="8.25"/>
    <x v="38"/>
    <x v="1"/>
    <x v="0"/>
    <x v="0"/>
  </r>
  <r>
    <x v="558"/>
    <x v="454"/>
    <x v="540"/>
    <s v="R-L-2.5"/>
    <n v="3"/>
    <x v="540"/>
    <s v=""/>
    <x v="0"/>
    <s v="Rob"/>
    <s v="L"/>
    <x v="2"/>
    <n v="27.484999999999996"/>
    <x v="185"/>
    <x v="0"/>
    <x v="1"/>
    <x v="1"/>
  </r>
  <r>
    <x v="559"/>
    <x v="455"/>
    <x v="541"/>
    <s v="L-D-0.5"/>
    <n v="1"/>
    <x v="541"/>
    <s v="bogb@elpais.com"/>
    <x v="0"/>
    <s v="Lib"/>
    <s v="D"/>
    <x v="1"/>
    <n v="7.77"/>
    <x v="41"/>
    <x v="3"/>
    <x v="2"/>
    <x v="0"/>
  </r>
  <r>
    <x v="560"/>
    <x v="456"/>
    <x v="542"/>
    <s v="R-M-0.5"/>
    <n v="2"/>
    <x v="542"/>
    <s v="vstansburygc@unblog.fr"/>
    <x v="0"/>
    <s v="Rob"/>
    <s v="M"/>
    <x v="1"/>
    <n v="5.97"/>
    <x v="22"/>
    <x v="0"/>
    <x v="0"/>
    <x v="0"/>
  </r>
  <r>
    <x v="561"/>
    <x v="373"/>
    <x v="543"/>
    <s v="E-L-2.5"/>
    <n v="6"/>
    <x v="543"/>
    <s v="dheinonengd@printfriendly.com"/>
    <x v="0"/>
    <s v="Exc"/>
    <s v="L"/>
    <x v="2"/>
    <n v="34.154999999999994"/>
    <x v="106"/>
    <x v="1"/>
    <x v="1"/>
    <x v="1"/>
  </r>
  <r>
    <x v="562"/>
    <x v="457"/>
    <x v="544"/>
    <s v="E-M-2.5"/>
    <n v="2"/>
    <x v="544"/>
    <s v="jshentonge@google.com.hk"/>
    <x v="0"/>
    <s v="Exc"/>
    <s v="M"/>
    <x v="2"/>
    <n v="31.624999999999996"/>
    <x v="40"/>
    <x v="1"/>
    <x v="0"/>
    <x v="0"/>
  </r>
  <r>
    <x v="563"/>
    <x v="458"/>
    <x v="545"/>
    <s v="R-D-0.2"/>
    <n v="3"/>
    <x v="545"/>
    <s v="jwilkissongf@nba.com"/>
    <x v="0"/>
    <s v="Rob"/>
    <s v="D"/>
    <x v="3"/>
    <n v="2.6849999999999996"/>
    <x v="36"/>
    <x v="0"/>
    <x v="2"/>
    <x v="0"/>
  </r>
  <r>
    <x v="564"/>
    <x v="264"/>
    <x v="546"/>
    <s v="A-M-2.5"/>
    <n v="2"/>
    <x v="546"/>
    <s v=""/>
    <x v="0"/>
    <s v="Ara"/>
    <s v="M"/>
    <x v="2"/>
    <n v="25.874999999999996"/>
    <x v="95"/>
    <x v="2"/>
    <x v="0"/>
    <x v="1"/>
  </r>
  <r>
    <x v="565"/>
    <x v="459"/>
    <x v="539"/>
    <s v="E-D-2.5"/>
    <n v="1"/>
    <x v="539"/>
    <s v="cverissimogh@theglobeandmail.com"/>
    <x v="2"/>
    <s v="Exc"/>
    <s v="D"/>
    <x v="2"/>
    <n v="27.945"/>
    <x v="140"/>
    <x v="1"/>
    <x v="2"/>
    <x v="0"/>
  </r>
  <r>
    <x v="566"/>
    <x v="460"/>
    <x v="547"/>
    <s v="A-L-2.5"/>
    <n v="2"/>
    <x v="547"/>
    <s v="gstarcksgi@abc.net.au"/>
    <x v="0"/>
    <s v="Ara"/>
    <s v="L"/>
    <x v="2"/>
    <n v="29.784999999999997"/>
    <x v="120"/>
    <x v="2"/>
    <x v="1"/>
    <x v="1"/>
  </r>
  <r>
    <x v="567"/>
    <x v="461"/>
    <x v="548"/>
    <s v="E-L-1"/>
    <n v="1"/>
    <x v="548"/>
    <s v=""/>
    <x v="2"/>
    <s v="Exc"/>
    <s v="L"/>
    <x v="0"/>
    <n v="14.85"/>
    <x v="151"/>
    <x v="1"/>
    <x v="1"/>
    <x v="1"/>
  </r>
  <r>
    <x v="568"/>
    <x v="219"/>
    <x v="549"/>
    <s v="A-M-0.5"/>
    <n v="5"/>
    <x v="549"/>
    <s v="kscholardgk@sbwire.com"/>
    <x v="0"/>
    <s v="Ara"/>
    <s v="M"/>
    <x v="1"/>
    <n v="6.75"/>
    <x v="65"/>
    <x v="2"/>
    <x v="0"/>
    <x v="1"/>
  </r>
  <r>
    <x v="569"/>
    <x v="462"/>
    <x v="550"/>
    <s v="L-L-2.5"/>
    <n v="4"/>
    <x v="550"/>
    <s v="bkindleygl@wikimedia.org"/>
    <x v="0"/>
    <s v="Lib"/>
    <s v="L"/>
    <x v="2"/>
    <n v="36.454999999999998"/>
    <x v="43"/>
    <x v="3"/>
    <x v="1"/>
    <x v="0"/>
  </r>
  <r>
    <x v="570"/>
    <x v="463"/>
    <x v="551"/>
    <s v="R-M-0.2"/>
    <n v="4"/>
    <x v="551"/>
    <s v="khammettgm@dmoz.org"/>
    <x v="0"/>
    <s v="Rob"/>
    <s v="M"/>
    <x v="3"/>
    <n v="2.9849999999999999"/>
    <x v="22"/>
    <x v="0"/>
    <x v="0"/>
    <x v="0"/>
  </r>
  <r>
    <x v="571"/>
    <x v="464"/>
    <x v="552"/>
    <s v="A-D-0.2"/>
    <n v="4"/>
    <x v="552"/>
    <s v="ahulburtgn@fda.gov"/>
    <x v="0"/>
    <s v="Ara"/>
    <s v="D"/>
    <x v="3"/>
    <n v="2.9849999999999999"/>
    <x v="22"/>
    <x v="2"/>
    <x v="2"/>
    <x v="0"/>
  </r>
  <r>
    <x v="572"/>
    <x v="465"/>
    <x v="553"/>
    <s v="L-D-0.5"/>
    <n v="1"/>
    <x v="553"/>
    <s v="plauritzengo@photobucket.com"/>
    <x v="0"/>
    <s v="Lib"/>
    <s v="D"/>
    <x v="1"/>
    <n v="7.77"/>
    <x v="41"/>
    <x v="3"/>
    <x v="2"/>
    <x v="1"/>
  </r>
  <r>
    <x v="573"/>
    <x v="466"/>
    <x v="554"/>
    <s v="R-L-2.5"/>
    <n v="4"/>
    <x v="554"/>
    <s v="aburgwingp@redcross.org"/>
    <x v="0"/>
    <s v="Rob"/>
    <s v="L"/>
    <x v="2"/>
    <n v="27.484999999999996"/>
    <x v="108"/>
    <x v="0"/>
    <x v="1"/>
    <x v="0"/>
  </r>
  <r>
    <x v="574"/>
    <x v="467"/>
    <x v="555"/>
    <s v="E-L-0.2"/>
    <n v="5"/>
    <x v="555"/>
    <s v="erolingq@google.fr"/>
    <x v="0"/>
    <s v="Exc"/>
    <s v="L"/>
    <x v="3"/>
    <n v="4.4550000000000001"/>
    <x v="110"/>
    <x v="1"/>
    <x v="1"/>
    <x v="0"/>
  </r>
  <r>
    <x v="575"/>
    <x v="468"/>
    <x v="556"/>
    <s v="R-M-0.2"/>
    <n v="3"/>
    <x v="556"/>
    <s v="dfowlegr@epa.gov"/>
    <x v="0"/>
    <s v="Rob"/>
    <s v="M"/>
    <x v="3"/>
    <n v="2.9849999999999999"/>
    <x v="169"/>
    <x v="0"/>
    <x v="0"/>
    <x v="1"/>
  </r>
  <r>
    <x v="576"/>
    <x v="469"/>
    <x v="557"/>
    <s v="L-D-2.5"/>
    <n v="4"/>
    <x v="557"/>
    <s v=""/>
    <x v="1"/>
    <s v="Lib"/>
    <s v="D"/>
    <x v="2"/>
    <n v="29.784999999999997"/>
    <x v="129"/>
    <x v="3"/>
    <x v="2"/>
    <x v="1"/>
  </r>
  <r>
    <x v="577"/>
    <x v="470"/>
    <x v="558"/>
    <s v="A-L-2.5"/>
    <n v="5"/>
    <x v="558"/>
    <s v="wpowleslandgt@soundcloud.com"/>
    <x v="0"/>
    <s v="Ara"/>
    <s v="L"/>
    <x v="2"/>
    <n v="29.784999999999997"/>
    <x v="74"/>
    <x v="2"/>
    <x v="1"/>
    <x v="0"/>
  </r>
  <r>
    <x v="578"/>
    <x v="471"/>
    <x v="539"/>
    <s v="L-L-2.5"/>
    <n v="3"/>
    <x v="28"/>
    <s v="cverissimogh@theglobeandmail.com"/>
    <x v="2"/>
    <s v="Lib"/>
    <s v="L"/>
    <x v="2"/>
    <n v="36.454999999999998"/>
    <x v="63"/>
    <x v="3"/>
    <x v="1"/>
    <x v="0"/>
  </r>
  <r>
    <x v="579"/>
    <x v="472"/>
    <x v="559"/>
    <s v="E-D-0.2"/>
    <n v="1"/>
    <x v="559"/>
    <s v="lellinghamgv@sciencedaily.com"/>
    <x v="0"/>
    <s v="Exc"/>
    <s v="D"/>
    <x v="3"/>
    <n v="3.645"/>
    <x v="186"/>
    <x v="1"/>
    <x v="2"/>
    <x v="0"/>
  </r>
  <r>
    <x v="580"/>
    <x v="173"/>
    <x v="560"/>
    <s v="E-D-2.5"/>
    <n v="2"/>
    <x v="560"/>
    <s v=""/>
    <x v="0"/>
    <s v="Exc"/>
    <s v="D"/>
    <x v="2"/>
    <n v="27.945"/>
    <x v="158"/>
    <x v="1"/>
    <x v="2"/>
    <x v="1"/>
  </r>
  <r>
    <x v="581"/>
    <x v="473"/>
    <x v="561"/>
    <s v="L-M-0.2"/>
    <n v="6"/>
    <x v="561"/>
    <s v="afendtgx@forbes.com"/>
    <x v="0"/>
    <s v="Lib"/>
    <s v="M"/>
    <x v="3"/>
    <n v="4.3650000000000002"/>
    <x v="50"/>
    <x v="3"/>
    <x v="0"/>
    <x v="0"/>
  </r>
  <r>
    <x v="582"/>
    <x v="474"/>
    <x v="562"/>
    <s v="R-M-1"/>
    <n v="4"/>
    <x v="562"/>
    <s v="acleyburngy@lycos.com"/>
    <x v="0"/>
    <s v="Rob"/>
    <s v="M"/>
    <x v="0"/>
    <n v="9.9499999999999993"/>
    <x v="10"/>
    <x v="0"/>
    <x v="0"/>
    <x v="1"/>
  </r>
  <r>
    <x v="583"/>
    <x v="475"/>
    <x v="563"/>
    <s v="E-L-2.5"/>
    <n v="2"/>
    <x v="563"/>
    <s v="tcastiglionegz@xing.com"/>
    <x v="0"/>
    <s v="Exc"/>
    <s v="L"/>
    <x v="2"/>
    <n v="34.154999999999994"/>
    <x v="93"/>
    <x v="1"/>
    <x v="1"/>
    <x v="1"/>
  </r>
  <r>
    <x v="584"/>
    <x v="476"/>
    <x v="564"/>
    <s v="A-M-0.2"/>
    <n v="4"/>
    <x v="564"/>
    <s v=""/>
    <x v="1"/>
    <s v="Ara"/>
    <s v="M"/>
    <x v="3"/>
    <n v="3.375"/>
    <x v="72"/>
    <x v="2"/>
    <x v="0"/>
    <x v="1"/>
  </r>
  <r>
    <x v="585"/>
    <x v="431"/>
    <x v="565"/>
    <s v="R-M-0.5"/>
    <n v="1"/>
    <x v="565"/>
    <s v=""/>
    <x v="0"/>
    <s v="Rob"/>
    <s v="M"/>
    <x v="1"/>
    <n v="5.97"/>
    <x v="9"/>
    <x v="0"/>
    <x v="0"/>
    <x v="1"/>
  </r>
  <r>
    <x v="586"/>
    <x v="477"/>
    <x v="539"/>
    <s v="R-M-0.5"/>
    <n v="5"/>
    <x v="28"/>
    <s v="cverissimogh@theglobeandmail.com"/>
    <x v="2"/>
    <s v="Rob"/>
    <s v="M"/>
    <x v="1"/>
    <n v="5.97"/>
    <x v="44"/>
    <x v="0"/>
    <x v="0"/>
    <x v="0"/>
  </r>
  <r>
    <x v="587"/>
    <x v="478"/>
    <x v="566"/>
    <s v="L-L-2.5"/>
    <n v="2"/>
    <x v="566"/>
    <s v="scouronneh3@mozilla.org"/>
    <x v="0"/>
    <s v="Lib"/>
    <s v="L"/>
    <x v="2"/>
    <n v="36.454999999999998"/>
    <x v="37"/>
    <x v="3"/>
    <x v="1"/>
    <x v="0"/>
  </r>
  <r>
    <x v="588"/>
    <x v="45"/>
    <x v="567"/>
    <s v="E-M-2.5"/>
    <n v="4"/>
    <x v="567"/>
    <s v="lflippellih4@github.io"/>
    <x v="2"/>
    <s v="Exc"/>
    <s v="M"/>
    <x v="2"/>
    <n v="31.624999999999996"/>
    <x v="177"/>
    <x v="1"/>
    <x v="0"/>
    <x v="1"/>
  </r>
  <r>
    <x v="589"/>
    <x v="444"/>
    <x v="568"/>
    <s v="L-M-2.5"/>
    <n v="1"/>
    <x v="568"/>
    <s v="relizabethh5@live.com"/>
    <x v="0"/>
    <s v="Lib"/>
    <s v="M"/>
    <x v="2"/>
    <n v="33.464999999999996"/>
    <x v="116"/>
    <x v="3"/>
    <x v="0"/>
    <x v="1"/>
  </r>
  <r>
    <x v="590"/>
    <x v="479"/>
    <x v="569"/>
    <s v="E-D-1"/>
    <n v="6"/>
    <x v="569"/>
    <s v="irenhardh6@i2i.jp"/>
    <x v="0"/>
    <s v="Exc"/>
    <s v="D"/>
    <x v="0"/>
    <n v="12.15"/>
    <x v="118"/>
    <x v="1"/>
    <x v="2"/>
    <x v="0"/>
  </r>
  <r>
    <x v="591"/>
    <x v="480"/>
    <x v="570"/>
    <s v="L-D-0.5"/>
    <n v="2"/>
    <x v="570"/>
    <s v="wrocheh7@xinhuanet.com"/>
    <x v="0"/>
    <s v="Lib"/>
    <s v="D"/>
    <x v="1"/>
    <n v="7.77"/>
    <x v="42"/>
    <x v="3"/>
    <x v="2"/>
    <x v="0"/>
  </r>
  <r>
    <x v="592"/>
    <x v="481"/>
    <x v="571"/>
    <s v="A-M-0.2"/>
    <n v="6"/>
    <x v="571"/>
    <s v="lalawayhh@weather.com"/>
    <x v="0"/>
    <s v="Ara"/>
    <s v="M"/>
    <x v="3"/>
    <n v="3.375"/>
    <x v="16"/>
    <x v="2"/>
    <x v="0"/>
    <x v="1"/>
  </r>
  <r>
    <x v="593"/>
    <x v="478"/>
    <x v="572"/>
    <s v="A-L-1"/>
    <n v="6"/>
    <x v="572"/>
    <s v="codgaardh9@nsw.gov.au"/>
    <x v="0"/>
    <s v="Ara"/>
    <s v="L"/>
    <x v="0"/>
    <n v="12.95"/>
    <x v="17"/>
    <x v="2"/>
    <x v="1"/>
    <x v="1"/>
  </r>
  <r>
    <x v="594"/>
    <x v="482"/>
    <x v="573"/>
    <s v="L-M-2.5"/>
    <n v="4"/>
    <x v="573"/>
    <s v="bbyrdha@4shared.com"/>
    <x v="0"/>
    <s v="Lib"/>
    <s v="M"/>
    <x v="2"/>
    <n v="33.464999999999996"/>
    <x v="136"/>
    <x v="3"/>
    <x v="0"/>
    <x v="1"/>
  </r>
  <r>
    <x v="595"/>
    <x v="353"/>
    <x v="574"/>
    <s v="E-D-1"/>
    <n v="1"/>
    <x v="574"/>
    <s v=""/>
    <x v="2"/>
    <s v="Exc"/>
    <s v="D"/>
    <x v="0"/>
    <n v="12.15"/>
    <x v="87"/>
    <x v="1"/>
    <x v="2"/>
    <x v="1"/>
  </r>
  <r>
    <x v="596"/>
    <x v="199"/>
    <x v="575"/>
    <s v="E-M-2.5"/>
    <n v="2"/>
    <x v="575"/>
    <s v="dchardinhc@nhs.uk"/>
    <x v="1"/>
    <s v="Exc"/>
    <s v="M"/>
    <x v="2"/>
    <n v="31.624999999999996"/>
    <x v="40"/>
    <x v="1"/>
    <x v="0"/>
    <x v="0"/>
  </r>
  <r>
    <x v="597"/>
    <x v="372"/>
    <x v="576"/>
    <s v="R-L-0.5"/>
    <n v="5"/>
    <x v="576"/>
    <s v="hradbonehd@newsvine.com"/>
    <x v="0"/>
    <s v="Rob"/>
    <s v="L"/>
    <x v="1"/>
    <n v="7.169999999999999"/>
    <x v="66"/>
    <x v="0"/>
    <x v="1"/>
    <x v="1"/>
  </r>
  <r>
    <x v="598"/>
    <x v="267"/>
    <x v="577"/>
    <s v="A-M-2.5"/>
    <n v="3"/>
    <x v="577"/>
    <s v="wbernthhe@miitbeian.gov.cn"/>
    <x v="0"/>
    <s v="Ara"/>
    <s v="M"/>
    <x v="2"/>
    <n v="25.874999999999996"/>
    <x v="57"/>
    <x v="2"/>
    <x v="0"/>
    <x v="1"/>
  </r>
  <r>
    <x v="599"/>
    <x v="480"/>
    <x v="578"/>
    <s v="E-M-2.5"/>
    <n v="2"/>
    <x v="578"/>
    <s v="bacarsonhf@cnn.com"/>
    <x v="0"/>
    <s v="Exc"/>
    <s v="M"/>
    <x v="2"/>
    <n v="31.624999999999996"/>
    <x v="40"/>
    <x v="1"/>
    <x v="0"/>
    <x v="0"/>
  </r>
  <r>
    <x v="600"/>
    <x v="483"/>
    <x v="579"/>
    <s v="E-L-0.2"/>
    <n v="6"/>
    <x v="579"/>
    <s v="fbrighamhg@blog.com"/>
    <x v="1"/>
    <s v="Exc"/>
    <s v="L"/>
    <x v="3"/>
    <n v="4.4550000000000001"/>
    <x v="149"/>
    <x v="1"/>
    <x v="1"/>
    <x v="0"/>
  </r>
  <r>
    <x v="600"/>
    <x v="483"/>
    <x v="579"/>
    <s v="L-D-0.5"/>
    <n v="4"/>
    <x v="579"/>
    <s v="fbrighamhg@blog.com"/>
    <x v="1"/>
    <s v="Lib"/>
    <s v="D"/>
    <x v="1"/>
    <n v="7.77"/>
    <x v="113"/>
    <x v="3"/>
    <x v="2"/>
    <x v="0"/>
  </r>
  <r>
    <x v="600"/>
    <x v="483"/>
    <x v="579"/>
    <s v="A-D-0.2"/>
    <n v="1"/>
    <x v="28"/>
    <s v="fbrighamhg@blog.com"/>
    <x v="1"/>
    <s v="Ara"/>
    <s v="D"/>
    <x v="3"/>
    <n v="2.9849999999999999"/>
    <x v="55"/>
    <x v="2"/>
    <x v="2"/>
    <x v="0"/>
  </r>
  <r>
    <x v="600"/>
    <x v="483"/>
    <x v="579"/>
    <s v="R-D-2.5"/>
    <n v="5"/>
    <x v="28"/>
    <s v="fbrighamhg@blog.com"/>
    <x v="1"/>
    <s v="Rob"/>
    <s v="D"/>
    <x v="2"/>
    <n v="20.584999999999997"/>
    <x v="182"/>
    <x v="0"/>
    <x v="2"/>
    <x v="0"/>
  </r>
  <r>
    <x v="601"/>
    <x v="484"/>
    <x v="580"/>
    <s v="E-L-0.5"/>
    <n v="4"/>
    <x v="580"/>
    <s v="myoxenhk@google.com"/>
    <x v="0"/>
    <s v="Exc"/>
    <s v="L"/>
    <x v="1"/>
    <n v="8.91"/>
    <x v="70"/>
    <x v="1"/>
    <x v="1"/>
    <x v="1"/>
  </r>
  <r>
    <x v="602"/>
    <x v="485"/>
    <x v="581"/>
    <s v="R-L-1"/>
    <n v="4"/>
    <x v="581"/>
    <s v="gmcgavinhl@histats.com"/>
    <x v="0"/>
    <s v="Rob"/>
    <s v="L"/>
    <x v="0"/>
    <n v="11.95"/>
    <x v="62"/>
    <x v="0"/>
    <x v="1"/>
    <x v="1"/>
  </r>
  <r>
    <x v="603"/>
    <x v="486"/>
    <x v="582"/>
    <s v="L-M-1"/>
    <n v="3"/>
    <x v="582"/>
    <s v="luttermarehm@engadget.com"/>
    <x v="0"/>
    <s v="Lib"/>
    <s v="M"/>
    <x v="0"/>
    <n v="14.55"/>
    <x v="34"/>
    <x v="3"/>
    <x v="0"/>
    <x v="1"/>
  </r>
  <r>
    <x v="604"/>
    <x v="487"/>
    <x v="583"/>
    <s v="E-L-0.5"/>
    <n v="4"/>
    <x v="583"/>
    <s v="edambrogiohn@techcrunch.com"/>
    <x v="0"/>
    <s v="Exc"/>
    <s v="L"/>
    <x v="1"/>
    <n v="8.91"/>
    <x v="70"/>
    <x v="1"/>
    <x v="1"/>
    <x v="0"/>
  </r>
  <r>
    <x v="605"/>
    <x v="488"/>
    <x v="584"/>
    <s v="L-L-1"/>
    <n v="6"/>
    <x v="584"/>
    <s v="cwinchcombeho@jiathis.com"/>
    <x v="0"/>
    <s v="Lib"/>
    <s v="L"/>
    <x v="0"/>
    <n v="15.85"/>
    <x v="179"/>
    <x v="3"/>
    <x v="1"/>
    <x v="0"/>
  </r>
  <r>
    <x v="606"/>
    <x v="489"/>
    <x v="585"/>
    <s v="E-M-2.5"/>
    <n v="1"/>
    <x v="585"/>
    <s v="bpaumierhp@umn.edu"/>
    <x v="1"/>
    <s v="Exc"/>
    <s v="M"/>
    <x v="2"/>
    <n v="31.624999999999996"/>
    <x v="176"/>
    <x v="1"/>
    <x v="0"/>
    <x v="0"/>
  </r>
  <r>
    <x v="607"/>
    <x v="162"/>
    <x v="586"/>
    <s v="A-M-2.5"/>
    <n v="3"/>
    <x v="586"/>
    <s v=""/>
    <x v="1"/>
    <s v="Ara"/>
    <s v="M"/>
    <x v="2"/>
    <n v="25.874999999999996"/>
    <x v="57"/>
    <x v="2"/>
    <x v="0"/>
    <x v="0"/>
  </r>
  <r>
    <x v="608"/>
    <x v="490"/>
    <x v="587"/>
    <s v="L-D-0.2"/>
    <n v="1"/>
    <x v="587"/>
    <s v="jcapeyhr@bravesites.com"/>
    <x v="0"/>
    <s v="Lib"/>
    <s v="D"/>
    <x v="3"/>
    <n v="3.8849999999999998"/>
    <x v="84"/>
    <x v="3"/>
    <x v="2"/>
    <x v="0"/>
  </r>
  <r>
    <x v="609"/>
    <x v="491"/>
    <x v="588"/>
    <s v="R-L-2.5"/>
    <n v="5"/>
    <x v="588"/>
    <s v="tmathonneti0@google.co.jp"/>
    <x v="0"/>
    <s v="Rob"/>
    <s v="L"/>
    <x v="2"/>
    <n v="27.484999999999996"/>
    <x v="187"/>
    <x v="0"/>
    <x v="1"/>
    <x v="1"/>
  </r>
  <r>
    <x v="610"/>
    <x v="301"/>
    <x v="589"/>
    <s v="R-L-1"/>
    <n v="3"/>
    <x v="589"/>
    <s v="ybasillht@theguardian.com"/>
    <x v="0"/>
    <s v="Rob"/>
    <s v="L"/>
    <x v="0"/>
    <n v="11.95"/>
    <x v="66"/>
    <x v="0"/>
    <x v="1"/>
    <x v="0"/>
  </r>
  <r>
    <x v="611"/>
    <x v="194"/>
    <x v="590"/>
    <s v="E-M-0.2"/>
    <n v="2"/>
    <x v="590"/>
    <s v="mbaistowhu@i2i.jp"/>
    <x v="2"/>
    <s v="Exc"/>
    <s v="M"/>
    <x v="3"/>
    <n v="4.125"/>
    <x v="112"/>
    <x v="1"/>
    <x v="0"/>
    <x v="0"/>
  </r>
  <r>
    <x v="612"/>
    <x v="26"/>
    <x v="591"/>
    <s v="E-L-2.5"/>
    <n v="3"/>
    <x v="591"/>
    <s v="cpallanthv@typepad.com"/>
    <x v="0"/>
    <s v="Exc"/>
    <s v="L"/>
    <x v="2"/>
    <n v="34.154999999999994"/>
    <x v="89"/>
    <x v="1"/>
    <x v="1"/>
    <x v="0"/>
  </r>
  <r>
    <x v="613"/>
    <x v="125"/>
    <x v="592"/>
    <s v="R-D-2.5"/>
    <n v="2"/>
    <x v="592"/>
    <s v=""/>
    <x v="0"/>
    <s v="Rob"/>
    <s v="D"/>
    <x v="2"/>
    <n v="20.584999999999997"/>
    <x v="13"/>
    <x v="0"/>
    <x v="2"/>
    <x v="1"/>
  </r>
  <r>
    <x v="614"/>
    <x v="492"/>
    <x v="593"/>
    <s v="A-D-2.5"/>
    <n v="3"/>
    <x v="593"/>
    <s v="dohx@redcross.org"/>
    <x v="0"/>
    <s v="Ara"/>
    <s v="D"/>
    <x v="2"/>
    <n v="22.884999999999998"/>
    <x v="96"/>
    <x v="2"/>
    <x v="2"/>
    <x v="0"/>
  </r>
  <r>
    <x v="615"/>
    <x v="462"/>
    <x v="594"/>
    <s v="A-D-1"/>
    <n v="1"/>
    <x v="594"/>
    <s v="drallinhy@howstuffworks.com"/>
    <x v="0"/>
    <s v="Ara"/>
    <s v="D"/>
    <x v="0"/>
    <n v="9.9499999999999993"/>
    <x v="138"/>
    <x v="2"/>
    <x v="2"/>
    <x v="0"/>
  </r>
  <r>
    <x v="616"/>
    <x v="493"/>
    <x v="595"/>
    <s v="L-L-0.5"/>
    <n v="3"/>
    <x v="595"/>
    <s v="achillhz@epa.gov"/>
    <x v="2"/>
    <s v="Lib"/>
    <s v="L"/>
    <x v="1"/>
    <n v="9.51"/>
    <x v="32"/>
    <x v="3"/>
    <x v="1"/>
    <x v="0"/>
  </r>
  <r>
    <x v="617"/>
    <x v="494"/>
    <x v="588"/>
    <s v="R-D-0.2"/>
    <n v="6"/>
    <x v="588"/>
    <s v="tmathonneti0@google.co.jp"/>
    <x v="0"/>
    <s v="Rob"/>
    <s v="D"/>
    <x v="3"/>
    <n v="2.6849999999999996"/>
    <x v="103"/>
    <x v="0"/>
    <x v="2"/>
    <x v="1"/>
  </r>
  <r>
    <x v="618"/>
    <x v="495"/>
    <x v="596"/>
    <s v="L-L-1"/>
    <n v="6"/>
    <x v="596"/>
    <s v="cdenysi1@is.gd"/>
    <x v="2"/>
    <s v="Lib"/>
    <s v="L"/>
    <x v="0"/>
    <n v="15.85"/>
    <x v="179"/>
    <x v="3"/>
    <x v="1"/>
    <x v="1"/>
  </r>
  <r>
    <x v="619"/>
    <x v="496"/>
    <x v="597"/>
    <s v="R-D-0.5"/>
    <n v="1"/>
    <x v="597"/>
    <s v="cstebbingsi2@drupal.org"/>
    <x v="0"/>
    <s v="Rob"/>
    <s v="D"/>
    <x v="1"/>
    <n v="5.3699999999999992"/>
    <x v="147"/>
    <x v="0"/>
    <x v="2"/>
    <x v="0"/>
  </r>
  <r>
    <x v="620"/>
    <x v="497"/>
    <x v="598"/>
    <s v="R-L-1"/>
    <n v="4"/>
    <x v="598"/>
    <s v=""/>
    <x v="0"/>
    <s v="Rob"/>
    <s v="L"/>
    <x v="0"/>
    <n v="11.95"/>
    <x v="62"/>
    <x v="0"/>
    <x v="1"/>
    <x v="1"/>
  </r>
  <r>
    <x v="621"/>
    <x v="498"/>
    <x v="599"/>
    <s v="L-L-1"/>
    <n v="4"/>
    <x v="599"/>
    <s v="rzywickii4@ifeng.com"/>
    <x v="1"/>
    <s v="Lib"/>
    <s v="L"/>
    <x v="0"/>
    <n v="15.85"/>
    <x v="165"/>
    <x v="3"/>
    <x v="1"/>
    <x v="1"/>
  </r>
  <r>
    <x v="622"/>
    <x v="382"/>
    <x v="600"/>
    <s v="A-M-2.5"/>
    <n v="4"/>
    <x v="600"/>
    <s v="aburgetti5@moonfruit.com"/>
    <x v="0"/>
    <s v="Ara"/>
    <s v="M"/>
    <x v="2"/>
    <n v="25.874999999999996"/>
    <x v="68"/>
    <x v="2"/>
    <x v="0"/>
    <x v="1"/>
  </r>
  <r>
    <x v="623"/>
    <x v="499"/>
    <x v="601"/>
    <s v="A-D-2.5"/>
    <n v="3"/>
    <x v="601"/>
    <s v="mmalloyi6@seattletimes.com"/>
    <x v="0"/>
    <s v="Ara"/>
    <s v="D"/>
    <x v="2"/>
    <n v="22.884999999999998"/>
    <x v="96"/>
    <x v="2"/>
    <x v="2"/>
    <x v="1"/>
  </r>
  <r>
    <x v="624"/>
    <x v="500"/>
    <x v="602"/>
    <s v="R-M-2.5"/>
    <n v="2"/>
    <x v="602"/>
    <s v="mmcparlandi7@w3.org"/>
    <x v="0"/>
    <s v="Rob"/>
    <s v="M"/>
    <x v="2"/>
    <n v="22.884999999999998"/>
    <x v="135"/>
    <x v="0"/>
    <x v="0"/>
    <x v="0"/>
  </r>
  <r>
    <x v="625"/>
    <x v="501"/>
    <x v="603"/>
    <s v="L-D-1"/>
    <n v="4"/>
    <x v="603"/>
    <s v="sjennaroyi8@purevolume.com"/>
    <x v="0"/>
    <s v="Lib"/>
    <s v="D"/>
    <x v="0"/>
    <n v="12.95"/>
    <x v="67"/>
    <x v="3"/>
    <x v="2"/>
    <x v="1"/>
  </r>
  <r>
    <x v="626"/>
    <x v="502"/>
    <x v="604"/>
    <s v="A-M-0.5"/>
    <n v="2"/>
    <x v="604"/>
    <s v="wplacei9@wsj.com"/>
    <x v="0"/>
    <s v="Ara"/>
    <s v="M"/>
    <x v="1"/>
    <n v="6.75"/>
    <x v="72"/>
    <x v="2"/>
    <x v="0"/>
    <x v="0"/>
  </r>
  <r>
    <x v="627"/>
    <x v="503"/>
    <x v="605"/>
    <s v="E-M-0.5"/>
    <n v="3"/>
    <x v="605"/>
    <s v="jmillettik@addtoany.com"/>
    <x v="0"/>
    <s v="Exc"/>
    <s v="M"/>
    <x v="1"/>
    <n v="8.25"/>
    <x v="167"/>
    <x v="1"/>
    <x v="0"/>
    <x v="0"/>
  </r>
  <r>
    <x v="628"/>
    <x v="504"/>
    <x v="606"/>
    <s v="A-D-2.5"/>
    <n v="2"/>
    <x v="606"/>
    <s v="dgadsdenib@google.com.hk"/>
    <x v="1"/>
    <s v="Ara"/>
    <s v="D"/>
    <x v="2"/>
    <n v="22.884999999999998"/>
    <x v="135"/>
    <x v="2"/>
    <x v="2"/>
    <x v="0"/>
  </r>
  <r>
    <x v="629"/>
    <x v="497"/>
    <x v="607"/>
    <s v="E-L-0.5"/>
    <n v="6"/>
    <x v="607"/>
    <s v="vwakelinic@unesco.org"/>
    <x v="0"/>
    <s v="Exc"/>
    <s v="L"/>
    <x v="1"/>
    <n v="8.91"/>
    <x v="119"/>
    <x v="1"/>
    <x v="1"/>
    <x v="1"/>
  </r>
  <r>
    <x v="630"/>
    <x v="501"/>
    <x v="608"/>
    <s v="A-M-0.2"/>
    <n v="6"/>
    <x v="608"/>
    <s v="acampsallid@zimbio.com"/>
    <x v="0"/>
    <s v="Ara"/>
    <s v="M"/>
    <x v="3"/>
    <n v="3.375"/>
    <x v="16"/>
    <x v="2"/>
    <x v="0"/>
    <x v="0"/>
  </r>
  <r>
    <x v="631"/>
    <x v="1"/>
    <x v="609"/>
    <s v="L-D-2.5"/>
    <n v="5"/>
    <x v="609"/>
    <s v="smosebyie@stanford.edu"/>
    <x v="0"/>
    <s v="Lib"/>
    <s v="D"/>
    <x v="2"/>
    <n v="29.784999999999997"/>
    <x v="74"/>
    <x v="3"/>
    <x v="2"/>
    <x v="1"/>
  </r>
  <r>
    <x v="632"/>
    <x v="505"/>
    <x v="610"/>
    <s v="A-M-1"/>
    <n v="6"/>
    <x v="610"/>
    <s v="cwassif@prweb.com"/>
    <x v="0"/>
    <s v="Ara"/>
    <s v="M"/>
    <x v="0"/>
    <n v="11.25"/>
    <x v="173"/>
    <x v="2"/>
    <x v="0"/>
    <x v="1"/>
  </r>
  <r>
    <x v="633"/>
    <x v="506"/>
    <x v="611"/>
    <s v="E-D-1"/>
    <n v="6"/>
    <x v="611"/>
    <s v="isjostromig@pbs.org"/>
    <x v="0"/>
    <s v="Exc"/>
    <s v="D"/>
    <x v="0"/>
    <n v="12.15"/>
    <x v="118"/>
    <x v="1"/>
    <x v="2"/>
    <x v="1"/>
  </r>
  <r>
    <x v="633"/>
    <x v="506"/>
    <x v="611"/>
    <s v="L-D-0.2"/>
    <n v="2"/>
    <x v="611"/>
    <s v="isjostromig@pbs.org"/>
    <x v="0"/>
    <s v="Lib"/>
    <s v="D"/>
    <x v="3"/>
    <n v="3.8849999999999998"/>
    <x v="41"/>
    <x v="3"/>
    <x v="2"/>
    <x v="1"/>
  </r>
  <r>
    <x v="634"/>
    <x v="507"/>
    <x v="612"/>
    <s v="A-D-2.5"/>
    <n v="4"/>
    <x v="612"/>
    <s v="jbranchettii@bravesites.com"/>
    <x v="0"/>
    <s v="Ara"/>
    <s v="D"/>
    <x v="2"/>
    <n v="22.884999999999998"/>
    <x v="21"/>
    <x v="2"/>
    <x v="2"/>
    <x v="1"/>
  </r>
  <r>
    <x v="635"/>
    <x v="508"/>
    <x v="613"/>
    <s v="A-D-1"/>
    <n v="6"/>
    <x v="613"/>
    <s v="nrudlandij@blogs.com"/>
    <x v="1"/>
    <s v="Ara"/>
    <s v="D"/>
    <x v="0"/>
    <n v="9.9499999999999993"/>
    <x v="33"/>
    <x v="2"/>
    <x v="2"/>
    <x v="1"/>
  </r>
  <r>
    <x v="636"/>
    <x v="509"/>
    <x v="605"/>
    <s v="R-L-2.5"/>
    <n v="5"/>
    <x v="605"/>
    <s v="jmillettik@addtoany.com"/>
    <x v="0"/>
    <s v="Rob"/>
    <s v="L"/>
    <x v="2"/>
    <n v="27.484999999999996"/>
    <x v="187"/>
    <x v="0"/>
    <x v="1"/>
    <x v="0"/>
  </r>
  <r>
    <x v="637"/>
    <x v="131"/>
    <x v="614"/>
    <s v="L-M-2.5"/>
    <n v="2"/>
    <x v="614"/>
    <s v="ftourryil@google.de"/>
    <x v="0"/>
    <s v="Lib"/>
    <s v="M"/>
    <x v="2"/>
    <n v="33.464999999999996"/>
    <x v="174"/>
    <x v="3"/>
    <x v="0"/>
    <x v="1"/>
  </r>
  <r>
    <x v="638"/>
    <x v="510"/>
    <x v="615"/>
    <s v="L-M-0.2"/>
    <n v="3"/>
    <x v="615"/>
    <s v="cweatherallim@toplist.cz"/>
    <x v="0"/>
    <s v="Lib"/>
    <s v="M"/>
    <x v="3"/>
    <n v="4.3650000000000002"/>
    <x v="73"/>
    <x v="3"/>
    <x v="0"/>
    <x v="0"/>
  </r>
  <r>
    <x v="639"/>
    <x v="511"/>
    <x v="616"/>
    <s v="R-L-1"/>
    <n v="5"/>
    <x v="616"/>
    <s v="gheindrickin@usda.gov"/>
    <x v="0"/>
    <s v="Rob"/>
    <s v="L"/>
    <x v="0"/>
    <n v="11.95"/>
    <x v="143"/>
    <x v="0"/>
    <x v="1"/>
    <x v="1"/>
  </r>
  <r>
    <x v="640"/>
    <x v="512"/>
    <x v="617"/>
    <s v="L-M-0.5"/>
    <n v="5"/>
    <x v="617"/>
    <s v="limasonio@discuz.net"/>
    <x v="0"/>
    <s v="Lib"/>
    <s v="M"/>
    <x v="1"/>
    <n v="8.73"/>
    <x v="34"/>
    <x v="3"/>
    <x v="0"/>
    <x v="0"/>
  </r>
  <r>
    <x v="641"/>
    <x v="513"/>
    <x v="618"/>
    <s v="E-M-1"/>
    <n v="6"/>
    <x v="618"/>
    <s v="hsaillip@odnoklassniki.ru"/>
    <x v="0"/>
    <s v="Exc"/>
    <s v="M"/>
    <x v="0"/>
    <n v="13.75"/>
    <x v="121"/>
    <x v="1"/>
    <x v="0"/>
    <x v="0"/>
  </r>
  <r>
    <x v="642"/>
    <x v="514"/>
    <x v="619"/>
    <s v="A-L-2.5"/>
    <n v="6"/>
    <x v="619"/>
    <s v="hlarvoriq@last.fm"/>
    <x v="0"/>
    <s v="Ara"/>
    <s v="L"/>
    <x v="2"/>
    <n v="29.784999999999997"/>
    <x v="39"/>
    <x v="2"/>
    <x v="1"/>
    <x v="0"/>
  </r>
  <r>
    <x v="643"/>
    <x v="7"/>
    <x v="620"/>
    <s v="L-D-2.5"/>
    <n v="4"/>
    <x v="620"/>
    <s v=""/>
    <x v="0"/>
    <s v="Lib"/>
    <s v="D"/>
    <x v="2"/>
    <n v="29.784999999999997"/>
    <x v="129"/>
    <x v="3"/>
    <x v="2"/>
    <x v="0"/>
  </r>
  <r>
    <x v="644"/>
    <x v="481"/>
    <x v="621"/>
    <s v="L-L-0.5"/>
    <n v="5"/>
    <x v="621"/>
    <s v=""/>
    <x v="0"/>
    <s v="Lib"/>
    <s v="L"/>
    <x v="1"/>
    <n v="9.51"/>
    <x v="46"/>
    <x v="3"/>
    <x v="1"/>
    <x v="1"/>
  </r>
  <r>
    <x v="645"/>
    <x v="515"/>
    <x v="622"/>
    <s v="L-M-0.5"/>
    <n v="5"/>
    <x v="622"/>
    <s v="cpenwardenit@mlb.com"/>
    <x v="1"/>
    <s v="Lib"/>
    <s v="M"/>
    <x v="1"/>
    <n v="8.73"/>
    <x v="34"/>
    <x v="3"/>
    <x v="0"/>
    <x v="1"/>
  </r>
  <r>
    <x v="646"/>
    <x v="516"/>
    <x v="623"/>
    <s v="A-L-2.5"/>
    <n v="6"/>
    <x v="623"/>
    <s v="mmiddisiu@dmoz.org"/>
    <x v="0"/>
    <s v="Ara"/>
    <s v="L"/>
    <x v="2"/>
    <n v="29.784999999999997"/>
    <x v="39"/>
    <x v="2"/>
    <x v="1"/>
    <x v="0"/>
  </r>
  <r>
    <x v="647"/>
    <x v="517"/>
    <x v="624"/>
    <s v="R-L-2.5"/>
    <n v="1"/>
    <x v="624"/>
    <s v="avairowiv@studiopress.com"/>
    <x v="2"/>
    <s v="Rob"/>
    <s v="L"/>
    <x v="2"/>
    <n v="27.484999999999996"/>
    <x v="142"/>
    <x v="0"/>
    <x v="1"/>
    <x v="1"/>
  </r>
  <r>
    <x v="648"/>
    <x v="518"/>
    <x v="625"/>
    <s v="A-M-1"/>
    <n v="5"/>
    <x v="625"/>
    <s v="agoldieiw@goo.gl"/>
    <x v="0"/>
    <s v="Ara"/>
    <s v="M"/>
    <x v="0"/>
    <n v="11.25"/>
    <x v="126"/>
    <x v="2"/>
    <x v="0"/>
    <x v="1"/>
  </r>
  <r>
    <x v="649"/>
    <x v="519"/>
    <x v="626"/>
    <s v="L-L-0.2"/>
    <n v="2"/>
    <x v="626"/>
    <s v="nayrisix@t-online.de"/>
    <x v="2"/>
    <s v="Lib"/>
    <s v="L"/>
    <x v="3"/>
    <n v="4.7549999999999999"/>
    <x v="54"/>
    <x v="3"/>
    <x v="1"/>
    <x v="0"/>
  </r>
  <r>
    <x v="650"/>
    <x v="520"/>
    <x v="627"/>
    <s v="E-M-0.2"/>
    <n v="2"/>
    <x v="627"/>
    <s v="lbenediktovichiy@wunderground.com"/>
    <x v="0"/>
    <s v="Exc"/>
    <s v="M"/>
    <x v="3"/>
    <n v="4.125"/>
    <x v="112"/>
    <x v="1"/>
    <x v="0"/>
    <x v="0"/>
  </r>
  <r>
    <x v="651"/>
    <x v="521"/>
    <x v="628"/>
    <s v="L-D-0.5"/>
    <n v="6"/>
    <x v="628"/>
    <s v="tjacobovitziz@cbc.ca"/>
    <x v="0"/>
    <s v="Lib"/>
    <s v="D"/>
    <x v="1"/>
    <n v="7.77"/>
    <x v="162"/>
    <x v="3"/>
    <x v="2"/>
    <x v="1"/>
  </r>
  <r>
    <x v="652"/>
    <x v="418"/>
    <x v="629"/>
    <s v="R-L-1"/>
    <n v="6"/>
    <x v="629"/>
    <s v=""/>
    <x v="0"/>
    <s v="Rob"/>
    <s v="L"/>
    <x v="0"/>
    <n v="11.95"/>
    <x v="144"/>
    <x v="0"/>
    <x v="1"/>
    <x v="1"/>
  </r>
  <r>
    <x v="653"/>
    <x v="122"/>
    <x v="630"/>
    <s v="L-L-2.5"/>
    <n v="2"/>
    <x v="630"/>
    <s v="jdruittj1@feedburner.com"/>
    <x v="0"/>
    <s v="Lib"/>
    <s v="L"/>
    <x v="2"/>
    <n v="36.454999999999998"/>
    <x v="37"/>
    <x v="3"/>
    <x v="1"/>
    <x v="0"/>
  </r>
  <r>
    <x v="654"/>
    <x v="423"/>
    <x v="631"/>
    <s v="R-D-0.2"/>
    <n v="3"/>
    <x v="631"/>
    <s v="dshortallj2@wikipedia.org"/>
    <x v="0"/>
    <s v="Rob"/>
    <s v="D"/>
    <x v="3"/>
    <n v="2.6849999999999996"/>
    <x v="36"/>
    <x v="0"/>
    <x v="2"/>
    <x v="0"/>
  </r>
  <r>
    <x v="655"/>
    <x v="463"/>
    <x v="632"/>
    <s v="E-M-0.5"/>
    <n v="2"/>
    <x v="632"/>
    <s v="wcottierj3@cafepress.com"/>
    <x v="0"/>
    <s v="Exc"/>
    <s v="M"/>
    <x v="1"/>
    <n v="8.25"/>
    <x v="38"/>
    <x v="1"/>
    <x v="0"/>
    <x v="1"/>
  </r>
  <r>
    <x v="656"/>
    <x v="273"/>
    <x v="633"/>
    <s v="A-L-1"/>
    <n v="5"/>
    <x v="633"/>
    <s v="kgrinstedj4@google.com.br"/>
    <x v="1"/>
    <s v="Ara"/>
    <s v="L"/>
    <x v="0"/>
    <n v="12.95"/>
    <x v="188"/>
    <x v="2"/>
    <x v="1"/>
    <x v="1"/>
  </r>
  <r>
    <x v="657"/>
    <x v="522"/>
    <x v="634"/>
    <s v="A-M-0.5"/>
    <n v="5"/>
    <x v="634"/>
    <s v="dskynerj5@hubpages.com"/>
    <x v="0"/>
    <s v="Ara"/>
    <s v="M"/>
    <x v="1"/>
    <n v="6.75"/>
    <x v="65"/>
    <x v="2"/>
    <x v="0"/>
    <x v="1"/>
  </r>
  <r>
    <x v="658"/>
    <x v="523"/>
    <x v="635"/>
    <s v="L-D-2.5"/>
    <n v="6"/>
    <x v="635"/>
    <s v=""/>
    <x v="0"/>
    <s v="Lib"/>
    <s v="D"/>
    <x v="2"/>
    <n v="29.784999999999997"/>
    <x v="39"/>
    <x v="3"/>
    <x v="2"/>
    <x v="1"/>
  </r>
  <r>
    <x v="659"/>
    <x v="260"/>
    <x v="636"/>
    <s v="A-M-1"/>
    <n v="2"/>
    <x v="636"/>
    <s v="jdymokeje@prnewswire.com"/>
    <x v="1"/>
    <s v="Ara"/>
    <s v="M"/>
    <x v="0"/>
    <n v="11.25"/>
    <x v="122"/>
    <x v="2"/>
    <x v="0"/>
    <x v="1"/>
  </r>
  <r>
    <x v="660"/>
    <x v="331"/>
    <x v="637"/>
    <s v="L-D-1"/>
    <n v="1"/>
    <x v="637"/>
    <s v="aweinmannj8@shinystat.com"/>
    <x v="0"/>
    <s v="Lib"/>
    <s v="D"/>
    <x v="0"/>
    <n v="12.95"/>
    <x v="2"/>
    <x v="3"/>
    <x v="2"/>
    <x v="1"/>
  </r>
  <r>
    <x v="661"/>
    <x v="524"/>
    <x v="638"/>
    <s v="A-M-2.5"/>
    <n v="2"/>
    <x v="638"/>
    <s v="eandriessenj9@europa.eu"/>
    <x v="0"/>
    <s v="Ara"/>
    <s v="M"/>
    <x v="2"/>
    <n v="25.874999999999996"/>
    <x v="95"/>
    <x v="2"/>
    <x v="0"/>
    <x v="0"/>
  </r>
  <r>
    <x v="662"/>
    <x v="525"/>
    <x v="639"/>
    <s v="E-D-0.5"/>
    <n v="5"/>
    <x v="639"/>
    <s v="rdeaconsonja@archive.org"/>
    <x v="0"/>
    <s v="Exc"/>
    <s v="D"/>
    <x v="1"/>
    <n v="7.29"/>
    <x v="114"/>
    <x v="1"/>
    <x v="2"/>
    <x v="1"/>
  </r>
  <r>
    <x v="663"/>
    <x v="526"/>
    <x v="640"/>
    <s v="L-L-2.5"/>
    <n v="5"/>
    <x v="640"/>
    <s v="dcarojb@twitter.com"/>
    <x v="0"/>
    <s v="Lib"/>
    <s v="L"/>
    <x v="2"/>
    <n v="36.454999999999998"/>
    <x v="134"/>
    <x v="3"/>
    <x v="1"/>
    <x v="0"/>
  </r>
  <r>
    <x v="664"/>
    <x v="104"/>
    <x v="641"/>
    <s v="L-D-0.5"/>
    <n v="4"/>
    <x v="641"/>
    <s v="jbluckjc@imageshack.us"/>
    <x v="0"/>
    <s v="Lib"/>
    <s v="D"/>
    <x v="1"/>
    <n v="7.77"/>
    <x v="113"/>
    <x v="3"/>
    <x v="2"/>
    <x v="1"/>
  </r>
  <r>
    <x v="665"/>
    <x v="491"/>
    <x v="642"/>
    <s v="A-M-0.5"/>
    <n v="3"/>
    <x v="642"/>
    <s v=""/>
    <x v="1"/>
    <s v="Ara"/>
    <s v="M"/>
    <x v="1"/>
    <n v="6.75"/>
    <x v="16"/>
    <x v="2"/>
    <x v="0"/>
    <x v="1"/>
  </r>
  <r>
    <x v="666"/>
    <x v="157"/>
    <x v="636"/>
    <s v="L-D-1"/>
    <n v="2"/>
    <x v="636"/>
    <s v="jdymokeje@prnewswire.com"/>
    <x v="1"/>
    <s v="Lib"/>
    <s v="D"/>
    <x v="0"/>
    <n v="12.95"/>
    <x v="109"/>
    <x v="3"/>
    <x v="2"/>
    <x v="1"/>
  </r>
  <r>
    <x v="667"/>
    <x v="527"/>
    <x v="643"/>
    <s v="A-D-0.5"/>
    <n v="4"/>
    <x v="643"/>
    <s v="otadmanjf@ft.com"/>
    <x v="0"/>
    <s v="Ara"/>
    <s v="D"/>
    <x v="1"/>
    <n v="5.97"/>
    <x v="86"/>
    <x v="2"/>
    <x v="2"/>
    <x v="0"/>
  </r>
  <r>
    <x v="668"/>
    <x v="528"/>
    <x v="644"/>
    <s v="L-L-0.5"/>
    <n v="2"/>
    <x v="644"/>
    <s v="bguddejg@dailymotion.com"/>
    <x v="0"/>
    <s v="Lib"/>
    <s v="L"/>
    <x v="1"/>
    <n v="9.51"/>
    <x v="81"/>
    <x v="3"/>
    <x v="1"/>
    <x v="1"/>
  </r>
  <r>
    <x v="669"/>
    <x v="99"/>
    <x v="645"/>
    <s v="A-D-0.5"/>
    <n v="5"/>
    <x v="645"/>
    <s v="nsictornesjh@buzzfeed.com"/>
    <x v="1"/>
    <s v="Ara"/>
    <s v="D"/>
    <x v="1"/>
    <n v="5.97"/>
    <x v="44"/>
    <x v="2"/>
    <x v="2"/>
    <x v="0"/>
  </r>
  <r>
    <x v="670"/>
    <x v="529"/>
    <x v="646"/>
    <s v="A-L-0.5"/>
    <n v="1"/>
    <x v="646"/>
    <s v="vdunningji@independent.co.uk"/>
    <x v="0"/>
    <s v="Ara"/>
    <s v="L"/>
    <x v="1"/>
    <n v="7.77"/>
    <x v="41"/>
    <x v="2"/>
    <x v="1"/>
    <x v="0"/>
  </r>
  <r>
    <x v="671"/>
    <x v="530"/>
    <x v="647"/>
    <s v="L-D-2.5"/>
    <n v="4"/>
    <x v="647"/>
    <s v=""/>
    <x v="1"/>
    <s v="Lib"/>
    <s v="D"/>
    <x v="2"/>
    <n v="29.784999999999997"/>
    <x v="129"/>
    <x v="3"/>
    <x v="2"/>
    <x v="0"/>
  </r>
  <r>
    <x v="672"/>
    <x v="531"/>
    <x v="648"/>
    <s v="E-D-0.2"/>
    <n v="6"/>
    <x v="648"/>
    <s v=""/>
    <x v="0"/>
    <s v="Exc"/>
    <s v="D"/>
    <x v="3"/>
    <n v="3.645"/>
    <x v="6"/>
    <x v="1"/>
    <x v="2"/>
    <x v="0"/>
  </r>
  <r>
    <x v="673"/>
    <x v="210"/>
    <x v="649"/>
    <s v="E-L-0.5"/>
    <n v="2"/>
    <x v="649"/>
    <s v="sgehringjl@gnu.org"/>
    <x v="0"/>
    <s v="Exc"/>
    <s v="L"/>
    <x v="1"/>
    <n v="8.91"/>
    <x v="58"/>
    <x v="1"/>
    <x v="1"/>
    <x v="1"/>
  </r>
  <r>
    <x v="674"/>
    <x v="532"/>
    <x v="650"/>
    <s v="E-M-0.2"/>
    <n v="3"/>
    <x v="650"/>
    <s v="bfallowesjm@purevolume.com"/>
    <x v="0"/>
    <s v="Exc"/>
    <s v="M"/>
    <x v="3"/>
    <n v="4.125"/>
    <x v="24"/>
    <x v="1"/>
    <x v="0"/>
    <x v="1"/>
  </r>
  <r>
    <x v="675"/>
    <x v="533"/>
    <x v="651"/>
    <s v="L-D-1"/>
    <n v="2"/>
    <x v="651"/>
    <s v=""/>
    <x v="1"/>
    <s v="Lib"/>
    <s v="D"/>
    <x v="0"/>
    <n v="12.95"/>
    <x v="109"/>
    <x v="3"/>
    <x v="2"/>
    <x v="1"/>
  </r>
  <r>
    <x v="676"/>
    <x v="534"/>
    <x v="652"/>
    <s v="A-M-0.5"/>
    <n v="2"/>
    <x v="652"/>
    <s v="sdejo@newsvine.com"/>
    <x v="0"/>
    <s v="Ara"/>
    <s v="M"/>
    <x v="1"/>
    <n v="6.75"/>
    <x v="72"/>
    <x v="2"/>
    <x v="0"/>
    <x v="0"/>
  </r>
  <r>
    <x v="677"/>
    <x v="535"/>
    <x v="653"/>
    <s v="E-L-0.5"/>
    <n v="2"/>
    <x v="653"/>
    <s v=""/>
    <x v="0"/>
    <s v="Exc"/>
    <s v="L"/>
    <x v="1"/>
    <n v="8.91"/>
    <x v="58"/>
    <x v="1"/>
    <x v="1"/>
    <x v="0"/>
  </r>
  <r>
    <x v="678"/>
    <x v="536"/>
    <x v="654"/>
    <s v="E-M-0.5"/>
    <n v="3"/>
    <x v="654"/>
    <s v="scountjq@nba.com"/>
    <x v="0"/>
    <s v="Exc"/>
    <s v="M"/>
    <x v="1"/>
    <n v="8.25"/>
    <x v="167"/>
    <x v="1"/>
    <x v="0"/>
    <x v="1"/>
  </r>
  <r>
    <x v="679"/>
    <x v="537"/>
    <x v="655"/>
    <s v="R-M-0.2"/>
    <n v="6"/>
    <x v="655"/>
    <s v="sraglesjr@blogtalkradio.com"/>
    <x v="0"/>
    <s v="Rob"/>
    <s v="M"/>
    <x v="3"/>
    <n v="2.9849999999999999"/>
    <x v="8"/>
    <x v="0"/>
    <x v="0"/>
    <x v="1"/>
  </r>
  <r>
    <x v="680"/>
    <x v="61"/>
    <x v="656"/>
    <s v="E-M-0.5"/>
    <n v="2"/>
    <x v="656"/>
    <s v=""/>
    <x v="2"/>
    <s v="Exc"/>
    <s v="M"/>
    <x v="1"/>
    <n v="8.25"/>
    <x v="38"/>
    <x v="1"/>
    <x v="0"/>
    <x v="1"/>
  </r>
  <r>
    <x v="681"/>
    <x v="242"/>
    <x v="657"/>
    <s v="R-M-0.2"/>
    <n v="1"/>
    <x v="657"/>
    <s v="sbruunjt@blogtalkradio.com"/>
    <x v="0"/>
    <s v="Rob"/>
    <s v="M"/>
    <x v="3"/>
    <n v="2.9849999999999999"/>
    <x v="55"/>
    <x v="0"/>
    <x v="0"/>
    <x v="1"/>
  </r>
  <r>
    <x v="682"/>
    <x v="299"/>
    <x v="658"/>
    <s v="E-D-0.2"/>
    <n v="4"/>
    <x v="658"/>
    <s v="aplluju@dagondesign.com"/>
    <x v="1"/>
    <s v="Exc"/>
    <s v="D"/>
    <x v="3"/>
    <n v="3.645"/>
    <x v="20"/>
    <x v="1"/>
    <x v="2"/>
    <x v="0"/>
  </r>
  <r>
    <x v="683"/>
    <x v="343"/>
    <x v="659"/>
    <s v="E-L-1"/>
    <n v="6"/>
    <x v="659"/>
    <s v="gcornierjv@techcrunch.com"/>
    <x v="0"/>
    <s v="Exc"/>
    <s v="L"/>
    <x v="0"/>
    <n v="14.85"/>
    <x v="146"/>
    <x v="1"/>
    <x v="1"/>
    <x v="1"/>
  </r>
  <r>
    <x v="684"/>
    <x v="538"/>
    <x v="636"/>
    <s v="R-L-1"/>
    <n v="3"/>
    <x v="28"/>
    <s v="jdymokeje@prnewswire.com"/>
    <x v="1"/>
    <s v="Rob"/>
    <s v="L"/>
    <x v="0"/>
    <n v="11.95"/>
    <x v="66"/>
    <x v="0"/>
    <x v="1"/>
    <x v="1"/>
  </r>
  <r>
    <x v="685"/>
    <x v="539"/>
    <x v="660"/>
    <s v="A-D-2.5"/>
    <n v="3"/>
    <x v="660"/>
    <s v="wharvisonjx@gizmodo.com"/>
    <x v="0"/>
    <s v="Ara"/>
    <s v="D"/>
    <x v="2"/>
    <n v="22.884999999999998"/>
    <x v="96"/>
    <x v="2"/>
    <x v="2"/>
    <x v="1"/>
  </r>
  <r>
    <x v="686"/>
    <x v="27"/>
    <x v="661"/>
    <s v="L-D-1"/>
    <n v="3"/>
    <x v="661"/>
    <s v="dheafordjy@twitpic.com"/>
    <x v="0"/>
    <s v="Lib"/>
    <s v="D"/>
    <x v="0"/>
    <n v="12.95"/>
    <x v="5"/>
    <x v="3"/>
    <x v="2"/>
    <x v="1"/>
  </r>
  <r>
    <x v="687"/>
    <x v="540"/>
    <x v="662"/>
    <s v="L-L-1"/>
    <n v="5"/>
    <x v="662"/>
    <s v="gfanthamjz@hexun.com"/>
    <x v="0"/>
    <s v="Lib"/>
    <s v="L"/>
    <x v="0"/>
    <n v="15.85"/>
    <x v="180"/>
    <x v="3"/>
    <x v="1"/>
    <x v="0"/>
  </r>
  <r>
    <x v="688"/>
    <x v="541"/>
    <x v="663"/>
    <s v="E-D-0.5"/>
    <n v="5"/>
    <x v="663"/>
    <s v="rcrookshanksk0@unc.edu"/>
    <x v="0"/>
    <s v="Exc"/>
    <s v="D"/>
    <x v="1"/>
    <n v="7.29"/>
    <x v="114"/>
    <x v="1"/>
    <x v="2"/>
    <x v="0"/>
  </r>
  <r>
    <x v="689"/>
    <x v="390"/>
    <x v="664"/>
    <s v="R-M-0.2"/>
    <n v="3"/>
    <x v="664"/>
    <s v="nleakek1@cmu.edu"/>
    <x v="0"/>
    <s v="Rob"/>
    <s v="M"/>
    <x v="3"/>
    <n v="2.9849999999999999"/>
    <x v="169"/>
    <x v="0"/>
    <x v="0"/>
    <x v="0"/>
  </r>
  <r>
    <x v="690"/>
    <x v="396"/>
    <x v="665"/>
    <s v="E-D-1"/>
    <n v="2"/>
    <x v="665"/>
    <s v=""/>
    <x v="0"/>
    <s v="Exc"/>
    <s v="D"/>
    <x v="0"/>
    <n v="12.15"/>
    <x v="76"/>
    <x v="1"/>
    <x v="2"/>
    <x v="1"/>
  </r>
  <r>
    <x v="691"/>
    <x v="185"/>
    <x v="666"/>
    <s v="E-M-2.5"/>
    <n v="2"/>
    <x v="666"/>
    <s v="geilhersenk3@networksolutions.com"/>
    <x v="0"/>
    <s v="Exc"/>
    <s v="M"/>
    <x v="2"/>
    <n v="31.624999999999996"/>
    <x v="40"/>
    <x v="1"/>
    <x v="0"/>
    <x v="1"/>
  </r>
  <r>
    <x v="692"/>
    <x v="542"/>
    <x v="667"/>
    <s v="A-M-0.2"/>
    <n v="2"/>
    <x v="667"/>
    <s v=""/>
    <x v="0"/>
    <s v="Ara"/>
    <s v="M"/>
    <x v="3"/>
    <n v="3.375"/>
    <x v="52"/>
    <x v="2"/>
    <x v="0"/>
    <x v="0"/>
  </r>
  <r>
    <x v="693"/>
    <x v="117"/>
    <x v="668"/>
    <s v="A-L-0.2"/>
    <n v="6"/>
    <x v="668"/>
    <s v="caleixok5@globo.com"/>
    <x v="0"/>
    <s v="Ara"/>
    <s v="L"/>
    <x v="3"/>
    <n v="3.8849999999999998"/>
    <x v="102"/>
    <x v="2"/>
    <x v="1"/>
    <x v="1"/>
  </r>
  <r>
    <x v="694"/>
    <x v="543"/>
    <x v="669"/>
    <s v="L-L-2.5"/>
    <n v="4"/>
    <x v="669"/>
    <s v=""/>
    <x v="0"/>
    <s v="Lib"/>
    <s v="L"/>
    <x v="2"/>
    <n v="36.454999999999998"/>
    <x v="43"/>
    <x v="3"/>
    <x v="1"/>
    <x v="1"/>
  </r>
  <r>
    <x v="695"/>
    <x v="544"/>
    <x v="670"/>
    <s v="R-M-0.5"/>
    <n v="5"/>
    <x v="670"/>
    <s v="rtomkowiczk7@bravesites.com"/>
    <x v="1"/>
    <s v="Rob"/>
    <s v="M"/>
    <x v="1"/>
    <n v="5.97"/>
    <x v="44"/>
    <x v="0"/>
    <x v="0"/>
    <x v="0"/>
  </r>
  <r>
    <x v="696"/>
    <x v="545"/>
    <x v="671"/>
    <s v="E-D-0.5"/>
    <n v="3"/>
    <x v="671"/>
    <s v="rhuscroftk8@jimdo.com"/>
    <x v="0"/>
    <s v="Exc"/>
    <s v="D"/>
    <x v="1"/>
    <n v="7.29"/>
    <x v="6"/>
    <x v="1"/>
    <x v="2"/>
    <x v="0"/>
  </r>
  <r>
    <x v="697"/>
    <x v="546"/>
    <x v="672"/>
    <s v="L-M-0.2"/>
    <n v="1"/>
    <x v="672"/>
    <s v="sscurrerk9@flavors.me"/>
    <x v="2"/>
    <s v="Lib"/>
    <s v="M"/>
    <x v="3"/>
    <n v="4.3650000000000002"/>
    <x v="189"/>
    <x v="3"/>
    <x v="0"/>
    <x v="1"/>
  </r>
  <r>
    <x v="698"/>
    <x v="420"/>
    <x v="673"/>
    <s v="L-L-2.5"/>
    <n v="1"/>
    <x v="673"/>
    <s v="arudramka@prnewswire.com"/>
    <x v="0"/>
    <s v="Lib"/>
    <s v="L"/>
    <x v="2"/>
    <n v="36.454999999999998"/>
    <x v="133"/>
    <x v="3"/>
    <x v="1"/>
    <x v="1"/>
  </r>
  <r>
    <x v="699"/>
    <x v="547"/>
    <x v="674"/>
    <s v="L-D-0.2"/>
    <n v="4"/>
    <x v="674"/>
    <s v=""/>
    <x v="0"/>
    <s v="Lib"/>
    <s v="D"/>
    <x v="3"/>
    <n v="3.8849999999999998"/>
    <x v="42"/>
    <x v="3"/>
    <x v="2"/>
    <x v="0"/>
  </r>
  <r>
    <x v="700"/>
    <x v="548"/>
    <x v="675"/>
    <s v="E-L-0.2"/>
    <n v="2"/>
    <x v="675"/>
    <s v="jmahakc@cyberchimps.com"/>
    <x v="0"/>
    <s v="Exc"/>
    <s v="L"/>
    <x v="3"/>
    <n v="4.4550000000000001"/>
    <x v="161"/>
    <x v="1"/>
    <x v="1"/>
    <x v="1"/>
  </r>
  <r>
    <x v="701"/>
    <x v="549"/>
    <x v="676"/>
    <s v="L-M-2.5"/>
    <n v="3"/>
    <x v="676"/>
    <s v="gclemonkd@networksolutions.com"/>
    <x v="0"/>
    <s v="Lib"/>
    <s v="M"/>
    <x v="2"/>
    <n v="33.464999999999996"/>
    <x v="64"/>
    <x v="3"/>
    <x v="0"/>
    <x v="0"/>
  </r>
  <r>
    <x v="702"/>
    <x v="550"/>
    <x v="677"/>
    <s v="R-D-0.2"/>
    <n v="5"/>
    <x v="677"/>
    <s v=""/>
    <x v="0"/>
    <s v="Rob"/>
    <s v="D"/>
    <x v="3"/>
    <n v="2.6849999999999996"/>
    <x v="148"/>
    <x v="0"/>
    <x v="2"/>
    <x v="1"/>
  </r>
  <r>
    <x v="703"/>
    <x v="551"/>
    <x v="678"/>
    <s v="E-D-0.2"/>
    <n v="6"/>
    <x v="678"/>
    <s v="bpollinskf@shinystat.com"/>
    <x v="0"/>
    <s v="Exc"/>
    <s v="D"/>
    <x v="3"/>
    <n v="3.645"/>
    <x v="6"/>
    <x v="1"/>
    <x v="2"/>
    <x v="1"/>
  </r>
  <r>
    <x v="704"/>
    <x v="552"/>
    <x v="679"/>
    <s v="L-D-1"/>
    <n v="2"/>
    <x v="679"/>
    <s v="jtoyekg@pinterest.com"/>
    <x v="1"/>
    <s v="Lib"/>
    <s v="D"/>
    <x v="0"/>
    <n v="12.95"/>
    <x v="109"/>
    <x v="3"/>
    <x v="2"/>
    <x v="0"/>
  </r>
  <r>
    <x v="705"/>
    <x v="553"/>
    <x v="680"/>
    <s v="A-M-1"/>
    <n v="5"/>
    <x v="680"/>
    <s v="clinskillkh@sphinn.com"/>
    <x v="0"/>
    <s v="Ara"/>
    <s v="M"/>
    <x v="0"/>
    <n v="11.25"/>
    <x v="126"/>
    <x v="2"/>
    <x v="0"/>
    <x v="1"/>
  </r>
  <r>
    <x v="706"/>
    <x v="554"/>
    <x v="681"/>
    <s v="R-L-0.2"/>
    <n v="3"/>
    <x v="681"/>
    <s v="nvigrasski@ezinearticles.com"/>
    <x v="2"/>
    <s v="Rob"/>
    <s v="L"/>
    <x v="3"/>
    <n v="3.5849999999999995"/>
    <x v="127"/>
    <x v="0"/>
    <x v="1"/>
    <x v="1"/>
  </r>
  <r>
    <x v="707"/>
    <x v="555"/>
    <x v="636"/>
    <s v="E-D-0.2"/>
    <n v="5"/>
    <x v="28"/>
    <s v="jdymokeje@prnewswire.com"/>
    <x v="1"/>
    <s v="Exc"/>
    <s v="D"/>
    <x v="3"/>
    <n v="3.645"/>
    <x v="94"/>
    <x v="1"/>
    <x v="2"/>
    <x v="1"/>
  </r>
  <r>
    <x v="708"/>
    <x v="150"/>
    <x v="682"/>
    <s v="R-L-0.5"/>
    <n v="4"/>
    <x v="682"/>
    <s v="kcragellkk@google.com"/>
    <x v="1"/>
    <s v="Rob"/>
    <s v="L"/>
    <x v="1"/>
    <n v="7.169999999999999"/>
    <x v="139"/>
    <x v="0"/>
    <x v="1"/>
    <x v="1"/>
  </r>
  <r>
    <x v="709"/>
    <x v="556"/>
    <x v="683"/>
    <s v="L-M-0.2"/>
    <n v="2"/>
    <x v="683"/>
    <s v="libertkl@huffingtonpost.com"/>
    <x v="0"/>
    <s v="Lib"/>
    <s v="M"/>
    <x v="3"/>
    <n v="4.3650000000000002"/>
    <x v="31"/>
    <x v="3"/>
    <x v="0"/>
    <x v="1"/>
  </r>
  <r>
    <x v="710"/>
    <x v="327"/>
    <x v="684"/>
    <s v="L-M-1"/>
    <n v="4"/>
    <x v="684"/>
    <s v="rlidgeykm@vimeo.com"/>
    <x v="0"/>
    <s v="Lib"/>
    <s v="M"/>
    <x v="0"/>
    <n v="14.55"/>
    <x v="125"/>
    <x v="3"/>
    <x v="0"/>
    <x v="1"/>
  </r>
  <r>
    <x v="711"/>
    <x v="557"/>
    <x v="685"/>
    <s v="A-D-0.5"/>
    <n v="3"/>
    <x v="685"/>
    <s v="tcastagnekn@wikia.com"/>
    <x v="0"/>
    <s v="Ara"/>
    <s v="D"/>
    <x v="1"/>
    <n v="5.97"/>
    <x v="8"/>
    <x v="2"/>
    <x v="2"/>
    <x v="1"/>
  </r>
  <r>
    <x v="712"/>
    <x v="333"/>
    <x v="686"/>
    <s v="R-M-0.2"/>
    <n v="6"/>
    <x v="686"/>
    <s v=""/>
    <x v="0"/>
    <s v="Rob"/>
    <s v="M"/>
    <x v="3"/>
    <n v="2.9849999999999999"/>
    <x v="8"/>
    <x v="0"/>
    <x v="0"/>
    <x v="0"/>
  </r>
  <r>
    <x v="713"/>
    <x v="558"/>
    <x v="687"/>
    <s v="E-D-0.5"/>
    <n v="2"/>
    <x v="687"/>
    <s v="jhaldenkp@comcast.net"/>
    <x v="1"/>
    <s v="Exc"/>
    <s v="D"/>
    <x v="1"/>
    <n v="7.29"/>
    <x v="20"/>
    <x v="1"/>
    <x v="2"/>
    <x v="1"/>
  </r>
  <r>
    <x v="714"/>
    <x v="559"/>
    <x v="688"/>
    <s v="A-M-1"/>
    <n v="3"/>
    <x v="688"/>
    <s v="holliffkq@sciencedirect.com"/>
    <x v="1"/>
    <s v="Ara"/>
    <s v="M"/>
    <x v="0"/>
    <n v="11.25"/>
    <x v="65"/>
    <x v="2"/>
    <x v="0"/>
    <x v="1"/>
  </r>
  <r>
    <x v="715"/>
    <x v="310"/>
    <x v="689"/>
    <s v="L-M-0.5"/>
    <n v="4"/>
    <x v="689"/>
    <s v="tquadrikr@opensource.org"/>
    <x v="1"/>
    <s v="Lib"/>
    <s v="M"/>
    <x v="1"/>
    <n v="8.73"/>
    <x v="190"/>
    <x v="3"/>
    <x v="0"/>
    <x v="0"/>
  </r>
  <r>
    <x v="716"/>
    <x v="560"/>
    <x v="690"/>
    <s v="E-D-0.5"/>
    <n v="2"/>
    <x v="690"/>
    <s v="feshmadeks@umn.edu"/>
    <x v="0"/>
    <s v="Exc"/>
    <s v="D"/>
    <x v="1"/>
    <n v="7.29"/>
    <x v="20"/>
    <x v="1"/>
    <x v="2"/>
    <x v="1"/>
  </r>
  <r>
    <x v="717"/>
    <x v="561"/>
    <x v="691"/>
    <s v="R-D-0.2"/>
    <n v="2"/>
    <x v="691"/>
    <s v="moilierkt@paginegialle.it"/>
    <x v="1"/>
    <s v="Rob"/>
    <s v="D"/>
    <x v="3"/>
    <n v="2.6849999999999996"/>
    <x v="147"/>
    <x v="0"/>
    <x v="2"/>
    <x v="0"/>
  </r>
  <r>
    <x v="718"/>
    <x v="562"/>
    <x v="692"/>
    <s v="R-M-0.5"/>
    <n v="1"/>
    <x v="692"/>
    <s v=""/>
    <x v="0"/>
    <s v="Rob"/>
    <s v="M"/>
    <x v="1"/>
    <n v="5.97"/>
    <x v="9"/>
    <x v="0"/>
    <x v="0"/>
    <x v="0"/>
  </r>
  <r>
    <x v="719"/>
    <x v="563"/>
    <x v="693"/>
    <s v="L-L-0.5"/>
    <n v="2"/>
    <x v="693"/>
    <s v="vshoebothamkv@redcross.org"/>
    <x v="0"/>
    <s v="Lib"/>
    <s v="L"/>
    <x v="1"/>
    <n v="9.51"/>
    <x v="81"/>
    <x v="3"/>
    <x v="1"/>
    <x v="1"/>
  </r>
  <r>
    <x v="720"/>
    <x v="564"/>
    <x v="694"/>
    <s v="E-M-1"/>
    <n v="2"/>
    <x v="694"/>
    <s v="bsterkekw@biblegateway.com"/>
    <x v="0"/>
    <s v="Exc"/>
    <s v="M"/>
    <x v="0"/>
    <n v="13.75"/>
    <x v="3"/>
    <x v="1"/>
    <x v="0"/>
    <x v="0"/>
  </r>
  <r>
    <x v="721"/>
    <x v="565"/>
    <x v="695"/>
    <s v="A-D-0.5"/>
    <n v="5"/>
    <x v="695"/>
    <s v="scaponkx@craigslist.org"/>
    <x v="0"/>
    <s v="Ara"/>
    <s v="D"/>
    <x v="1"/>
    <n v="5.97"/>
    <x v="44"/>
    <x v="2"/>
    <x v="2"/>
    <x v="1"/>
  </r>
  <r>
    <x v="722"/>
    <x v="566"/>
    <x v="636"/>
    <s v="A-D-0.2"/>
    <n v="6"/>
    <x v="28"/>
    <s v="jdymokeje@prnewswire.com"/>
    <x v="1"/>
    <s v="Ara"/>
    <s v="D"/>
    <x v="3"/>
    <n v="2.9849999999999999"/>
    <x v="8"/>
    <x v="2"/>
    <x v="2"/>
    <x v="1"/>
  </r>
  <r>
    <x v="723"/>
    <x v="160"/>
    <x v="696"/>
    <s v="L-L-0.2"/>
    <n v="6"/>
    <x v="696"/>
    <s v="fconstancekz@ifeng.com"/>
    <x v="0"/>
    <s v="Lib"/>
    <s v="L"/>
    <x v="3"/>
    <n v="4.7549999999999999"/>
    <x v="32"/>
    <x v="3"/>
    <x v="1"/>
    <x v="1"/>
  </r>
  <r>
    <x v="724"/>
    <x v="567"/>
    <x v="697"/>
    <s v="R-D-1"/>
    <n v="4"/>
    <x v="697"/>
    <s v="fsulmanl0@washington.edu"/>
    <x v="0"/>
    <s v="Rob"/>
    <s v="D"/>
    <x v="0"/>
    <n v="8.9499999999999993"/>
    <x v="191"/>
    <x v="0"/>
    <x v="2"/>
    <x v="0"/>
  </r>
  <r>
    <x v="725"/>
    <x v="568"/>
    <x v="698"/>
    <s v="A-D-0.5"/>
    <n v="3"/>
    <x v="698"/>
    <s v="dhollymanl1@ibm.com"/>
    <x v="0"/>
    <s v="Ara"/>
    <s v="D"/>
    <x v="1"/>
    <n v="5.97"/>
    <x v="8"/>
    <x v="2"/>
    <x v="2"/>
    <x v="0"/>
  </r>
  <r>
    <x v="726"/>
    <x v="569"/>
    <x v="699"/>
    <s v="R-D-1"/>
    <n v="1"/>
    <x v="699"/>
    <s v="lnardonil2@hao123.com"/>
    <x v="0"/>
    <s v="Rob"/>
    <s v="D"/>
    <x v="0"/>
    <n v="8.9499999999999993"/>
    <x v="192"/>
    <x v="0"/>
    <x v="2"/>
    <x v="1"/>
  </r>
  <r>
    <x v="727"/>
    <x v="570"/>
    <x v="700"/>
    <s v="L-D-2.5"/>
    <n v="1"/>
    <x v="700"/>
    <s v="dyarhaml3@moonfruit.com"/>
    <x v="0"/>
    <s v="Lib"/>
    <s v="D"/>
    <x v="2"/>
    <n v="29.784999999999997"/>
    <x v="91"/>
    <x v="3"/>
    <x v="2"/>
    <x v="0"/>
  </r>
  <r>
    <x v="728"/>
    <x v="571"/>
    <x v="701"/>
    <s v="E-L-0.5"/>
    <n v="5"/>
    <x v="701"/>
    <s v="aferreal4@wikia.com"/>
    <x v="0"/>
    <s v="Exc"/>
    <s v="L"/>
    <x v="1"/>
    <n v="8.91"/>
    <x v="69"/>
    <x v="1"/>
    <x v="1"/>
    <x v="1"/>
  </r>
  <r>
    <x v="729"/>
    <x v="139"/>
    <x v="702"/>
    <s v="E-L-1"/>
    <n v="6"/>
    <x v="702"/>
    <s v="ckendrickl5@webnode.com"/>
    <x v="0"/>
    <s v="Exc"/>
    <s v="L"/>
    <x v="0"/>
    <n v="14.85"/>
    <x v="146"/>
    <x v="1"/>
    <x v="1"/>
    <x v="0"/>
  </r>
  <r>
    <x v="730"/>
    <x v="303"/>
    <x v="703"/>
    <s v="L-M-0.5"/>
    <n v="5"/>
    <x v="703"/>
    <s v="sdanilchikl6@mit.edu"/>
    <x v="2"/>
    <s v="Lib"/>
    <s v="M"/>
    <x v="1"/>
    <n v="8.73"/>
    <x v="34"/>
    <x v="3"/>
    <x v="0"/>
    <x v="1"/>
  </r>
  <r>
    <x v="731"/>
    <x v="572"/>
    <x v="704"/>
    <s v="A-L-0.5"/>
    <n v="3"/>
    <x v="704"/>
    <s v=""/>
    <x v="0"/>
    <s v="Ara"/>
    <s v="L"/>
    <x v="1"/>
    <n v="7.77"/>
    <x v="102"/>
    <x v="2"/>
    <x v="1"/>
    <x v="1"/>
  </r>
  <r>
    <x v="732"/>
    <x v="573"/>
    <x v="705"/>
    <s v="A-L-2.5"/>
    <n v="6"/>
    <x v="705"/>
    <s v="bfolomkinl8@yolasite.com"/>
    <x v="0"/>
    <s v="Ara"/>
    <s v="L"/>
    <x v="2"/>
    <n v="29.784999999999997"/>
    <x v="39"/>
    <x v="2"/>
    <x v="1"/>
    <x v="0"/>
  </r>
  <r>
    <x v="733"/>
    <x v="574"/>
    <x v="706"/>
    <s v="R-M-1"/>
    <n v="6"/>
    <x v="706"/>
    <s v="rpursglovel9@biblegateway.com"/>
    <x v="0"/>
    <s v="Rob"/>
    <s v="M"/>
    <x v="0"/>
    <n v="9.9499999999999993"/>
    <x v="33"/>
    <x v="0"/>
    <x v="0"/>
    <x v="0"/>
  </r>
  <r>
    <x v="733"/>
    <x v="574"/>
    <x v="706"/>
    <s v="A-L-0.5"/>
    <n v="2"/>
    <x v="706"/>
    <s v="rpursglovel9@biblegateway.com"/>
    <x v="0"/>
    <s v="Ara"/>
    <s v="L"/>
    <x v="1"/>
    <n v="7.77"/>
    <x v="42"/>
    <x v="2"/>
    <x v="1"/>
    <x v="0"/>
  </r>
  <r>
    <x v="734"/>
    <x v="455"/>
    <x v="696"/>
    <s v="A-L-2.5"/>
    <n v="3"/>
    <x v="28"/>
    <s v="fconstancekz@ifeng.com"/>
    <x v="0"/>
    <s v="Ara"/>
    <s v="L"/>
    <x v="2"/>
    <n v="29.784999999999997"/>
    <x v="49"/>
    <x v="2"/>
    <x v="1"/>
    <x v="1"/>
  </r>
  <r>
    <x v="735"/>
    <x v="575"/>
    <x v="696"/>
    <s v="R-L-1"/>
    <n v="2"/>
    <x v="28"/>
    <s v="fconstancekz@ifeng.com"/>
    <x v="0"/>
    <s v="Rob"/>
    <s v="L"/>
    <x v="0"/>
    <n v="11.95"/>
    <x v="178"/>
    <x v="0"/>
    <x v="1"/>
    <x v="1"/>
  </r>
  <r>
    <x v="736"/>
    <x v="576"/>
    <x v="707"/>
    <s v="R-M-2.5"/>
    <n v="6"/>
    <x v="707"/>
    <s v="deburahld@google.co.jp"/>
    <x v="2"/>
    <s v="Rob"/>
    <s v="M"/>
    <x v="2"/>
    <n v="22.884999999999998"/>
    <x v="170"/>
    <x v="0"/>
    <x v="0"/>
    <x v="1"/>
  </r>
  <r>
    <x v="737"/>
    <x v="577"/>
    <x v="708"/>
    <s v="A-D-1"/>
    <n v="1"/>
    <x v="708"/>
    <s v="mbrimilcombele@cnn.com"/>
    <x v="0"/>
    <s v="Ara"/>
    <s v="D"/>
    <x v="0"/>
    <n v="9.9499999999999993"/>
    <x v="138"/>
    <x v="2"/>
    <x v="2"/>
    <x v="1"/>
  </r>
  <r>
    <x v="738"/>
    <x v="578"/>
    <x v="709"/>
    <s v="R-L-0.5"/>
    <n v="3"/>
    <x v="709"/>
    <s v="sbollamlf@list-manage.com"/>
    <x v="0"/>
    <s v="Rob"/>
    <s v="L"/>
    <x v="1"/>
    <n v="7.169999999999999"/>
    <x v="137"/>
    <x v="0"/>
    <x v="1"/>
    <x v="1"/>
  </r>
  <r>
    <x v="739"/>
    <x v="579"/>
    <x v="710"/>
    <s v="E-M-1"/>
    <n v="6"/>
    <x v="710"/>
    <s v=""/>
    <x v="0"/>
    <s v="Exc"/>
    <s v="M"/>
    <x v="0"/>
    <n v="13.75"/>
    <x v="121"/>
    <x v="1"/>
    <x v="0"/>
    <x v="1"/>
  </r>
  <r>
    <x v="740"/>
    <x v="91"/>
    <x v="711"/>
    <s v="L-M-0.2"/>
    <n v="2"/>
    <x v="711"/>
    <s v="afilipczaklh@ning.com"/>
    <x v="1"/>
    <s v="Lib"/>
    <s v="M"/>
    <x v="3"/>
    <n v="4.3650000000000002"/>
    <x v="31"/>
    <x v="3"/>
    <x v="0"/>
    <x v="1"/>
  </r>
  <r>
    <x v="741"/>
    <x v="272"/>
    <x v="712"/>
    <s v="R-M-1"/>
    <n v="2"/>
    <x v="712"/>
    <s v=""/>
    <x v="0"/>
    <s v="Rob"/>
    <s v="M"/>
    <x v="0"/>
    <n v="9.9499999999999993"/>
    <x v="0"/>
    <x v="0"/>
    <x v="0"/>
    <x v="0"/>
  </r>
  <r>
    <x v="742"/>
    <x v="65"/>
    <x v="713"/>
    <s v="E-L-0.5"/>
    <n v="2"/>
    <x v="713"/>
    <s v="relnaughlj@comsenz.com"/>
    <x v="0"/>
    <s v="Exc"/>
    <s v="L"/>
    <x v="1"/>
    <n v="8.91"/>
    <x v="58"/>
    <x v="1"/>
    <x v="1"/>
    <x v="0"/>
  </r>
  <r>
    <x v="743"/>
    <x v="580"/>
    <x v="714"/>
    <s v="A-M-0.5"/>
    <n v="3"/>
    <x v="714"/>
    <s v="jdeehanlk@about.me"/>
    <x v="0"/>
    <s v="Ara"/>
    <s v="M"/>
    <x v="1"/>
    <n v="6.75"/>
    <x v="16"/>
    <x v="2"/>
    <x v="0"/>
    <x v="1"/>
  </r>
  <r>
    <x v="744"/>
    <x v="581"/>
    <x v="715"/>
    <s v="A-L-2.5"/>
    <n v="2"/>
    <x v="715"/>
    <s v="jedenll@e-recht24.de"/>
    <x v="0"/>
    <s v="Ara"/>
    <s v="L"/>
    <x v="2"/>
    <n v="29.784999999999997"/>
    <x v="120"/>
    <x v="2"/>
    <x v="1"/>
    <x v="1"/>
  </r>
  <r>
    <x v="745"/>
    <x v="489"/>
    <x v="716"/>
    <s v="L-L-0.5"/>
    <n v="2"/>
    <x v="716"/>
    <s v="cjewsterlu@moonfruit.com"/>
    <x v="0"/>
    <s v="Lib"/>
    <s v="L"/>
    <x v="1"/>
    <n v="9.51"/>
    <x v="81"/>
    <x v="3"/>
    <x v="1"/>
    <x v="0"/>
  </r>
  <r>
    <x v="746"/>
    <x v="234"/>
    <x v="717"/>
    <s v="L-D-1"/>
    <n v="6"/>
    <x v="717"/>
    <s v="usoutherdenln@hao123.com"/>
    <x v="0"/>
    <s v="Lib"/>
    <s v="D"/>
    <x v="0"/>
    <n v="12.95"/>
    <x v="17"/>
    <x v="3"/>
    <x v="2"/>
    <x v="0"/>
  </r>
  <r>
    <x v="747"/>
    <x v="175"/>
    <x v="718"/>
    <s v="E-M-1"/>
    <n v="3"/>
    <x v="718"/>
    <s v=""/>
    <x v="0"/>
    <s v="Exc"/>
    <s v="M"/>
    <x v="0"/>
    <n v="13.75"/>
    <x v="1"/>
    <x v="1"/>
    <x v="0"/>
    <x v="1"/>
  </r>
  <r>
    <x v="748"/>
    <x v="582"/>
    <x v="719"/>
    <s v="L-L-2.5"/>
    <n v="4"/>
    <x v="719"/>
    <s v="lburtenshawlp@shinystat.com"/>
    <x v="0"/>
    <s v="Lib"/>
    <s v="L"/>
    <x v="2"/>
    <n v="36.454999999999998"/>
    <x v="43"/>
    <x v="3"/>
    <x v="1"/>
    <x v="1"/>
  </r>
  <r>
    <x v="749"/>
    <x v="583"/>
    <x v="720"/>
    <s v="E-L-0.2"/>
    <n v="6"/>
    <x v="720"/>
    <s v="agregorattilq@vistaprint.com"/>
    <x v="1"/>
    <s v="Exc"/>
    <s v="L"/>
    <x v="3"/>
    <n v="4.4550000000000001"/>
    <x v="149"/>
    <x v="1"/>
    <x v="1"/>
    <x v="1"/>
  </r>
  <r>
    <x v="750"/>
    <x v="548"/>
    <x v="721"/>
    <s v="L-M-0.5"/>
    <n v="5"/>
    <x v="721"/>
    <s v="ccrosterlr@gov.uk"/>
    <x v="0"/>
    <s v="Lib"/>
    <s v="M"/>
    <x v="1"/>
    <n v="8.73"/>
    <x v="34"/>
    <x v="3"/>
    <x v="0"/>
    <x v="0"/>
  </r>
  <r>
    <x v="751"/>
    <x v="584"/>
    <x v="722"/>
    <s v="L-L-1"/>
    <n v="2"/>
    <x v="722"/>
    <s v="gwhiteheadls@hp.com"/>
    <x v="0"/>
    <s v="Lib"/>
    <s v="L"/>
    <x v="0"/>
    <n v="15.85"/>
    <x v="124"/>
    <x v="3"/>
    <x v="1"/>
    <x v="1"/>
  </r>
  <r>
    <x v="752"/>
    <x v="64"/>
    <x v="723"/>
    <s v="A-D-2.5"/>
    <n v="1"/>
    <x v="723"/>
    <s v="hjodrellelt@samsung.com"/>
    <x v="0"/>
    <s v="Ara"/>
    <s v="D"/>
    <x v="2"/>
    <n v="22.884999999999998"/>
    <x v="156"/>
    <x v="2"/>
    <x v="2"/>
    <x v="1"/>
  </r>
  <r>
    <x v="753"/>
    <x v="585"/>
    <x v="716"/>
    <s v="E-D-2.5"/>
    <n v="1"/>
    <x v="716"/>
    <s v="cjewsterlu@moonfruit.com"/>
    <x v="0"/>
    <s v="Exc"/>
    <s v="D"/>
    <x v="2"/>
    <n v="27.945"/>
    <x v="140"/>
    <x v="1"/>
    <x v="2"/>
    <x v="0"/>
  </r>
  <r>
    <x v="754"/>
    <x v="32"/>
    <x v="724"/>
    <s v="E-M-1"/>
    <n v="6"/>
    <x v="724"/>
    <s v=""/>
    <x v="0"/>
    <s v="Exc"/>
    <s v="M"/>
    <x v="0"/>
    <n v="13.75"/>
    <x v="121"/>
    <x v="1"/>
    <x v="0"/>
    <x v="0"/>
  </r>
  <r>
    <x v="755"/>
    <x v="586"/>
    <x v="725"/>
    <s v="R-M-2.5"/>
    <n v="2"/>
    <x v="725"/>
    <s v="knottramlw@odnoklassniki.ru"/>
    <x v="1"/>
    <s v="Rob"/>
    <s v="M"/>
    <x v="2"/>
    <n v="22.884999999999998"/>
    <x v="135"/>
    <x v="0"/>
    <x v="0"/>
    <x v="0"/>
  </r>
  <r>
    <x v="756"/>
    <x v="535"/>
    <x v="726"/>
    <s v="A-L-1"/>
    <n v="6"/>
    <x v="726"/>
    <s v="nbuneylx@jugem.jp"/>
    <x v="0"/>
    <s v="Ara"/>
    <s v="L"/>
    <x v="0"/>
    <n v="12.95"/>
    <x v="17"/>
    <x v="2"/>
    <x v="1"/>
    <x v="1"/>
  </r>
  <r>
    <x v="757"/>
    <x v="587"/>
    <x v="727"/>
    <s v="A-L-0.5"/>
    <n v="3"/>
    <x v="727"/>
    <s v="smcshealy@photobucket.com"/>
    <x v="0"/>
    <s v="Ara"/>
    <s v="L"/>
    <x v="1"/>
    <n v="7.77"/>
    <x v="102"/>
    <x v="2"/>
    <x v="1"/>
    <x v="1"/>
  </r>
  <r>
    <x v="758"/>
    <x v="393"/>
    <x v="728"/>
    <s v="L-L-0.2"/>
    <n v="5"/>
    <x v="728"/>
    <s v="khuddartlz@about.com"/>
    <x v="0"/>
    <s v="Lib"/>
    <s v="L"/>
    <x v="3"/>
    <n v="4.7549999999999999"/>
    <x v="29"/>
    <x v="3"/>
    <x v="1"/>
    <x v="0"/>
  </r>
  <r>
    <x v="759"/>
    <x v="588"/>
    <x v="729"/>
    <s v="L-M-0.5"/>
    <n v="6"/>
    <x v="729"/>
    <s v="jgippesm0@cloudflare.com"/>
    <x v="2"/>
    <s v="Lib"/>
    <s v="M"/>
    <x v="1"/>
    <n v="8.73"/>
    <x v="28"/>
    <x v="3"/>
    <x v="0"/>
    <x v="0"/>
  </r>
  <r>
    <x v="760"/>
    <x v="15"/>
    <x v="730"/>
    <s v="R-L-0.2"/>
    <n v="5"/>
    <x v="730"/>
    <s v="lwhittleseem1@e-recht24.de"/>
    <x v="0"/>
    <s v="Rob"/>
    <s v="L"/>
    <x v="3"/>
    <n v="3.5849999999999995"/>
    <x v="131"/>
    <x v="0"/>
    <x v="1"/>
    <x v="1"/>
  </r>
  <r>
    <x v="761"/>
    <x v="507"/>
    <x v="731"/>
    <s v="A-L-2.5"/>
    <n v="5"/>
    <x v="731"/>
    <s v="gtrengrovem2@elpais.com"/>
    <x v="0"/>
    <s v="Ara"/>
    <s v="L"/>
    <x v="2"/>
    <n v="29.784999999999997"/>
    <x v="74"/>
    <x v="2"/>
    <x v="1"/>
    <x v="1"/>
  </r>
  <r>
    <x v="762"/>
    <x v="533"/>
    <x v="732"/>
    <s v="R-L-0.5"/>
    <n v="4"/>
    <x v="732"/>
    <s v="wcalderom3@stumbleupon.com"/>
    <x v="0"/>
    <s v="Rob"/>
    <s v="L"/>
    <x v="1"/>
    <n v="7.169999999999999"/>
    <x v="139"/>
    <x v="0"/>
    <x v="1"/>
    <x v="1"/>
  </r>
  <r>
    <x v="763"/>
    <x v="589"/>
    <x v="733"/>
    <s v="L-L-0.5"/>
    <n v="1"/>
    <x v="733"/>
    <s v=""/>
    <x v="0"/>
    <s v="Lib"/>
    <s v="L"/>
    <x v="1"/>
    <n v="9.51"/>
    <x v="54"/>
    <x v="3"/>
    <x v="1"/>
    <x v="1"/>
  </r>
  <r>
    <x v="764"/>
    <x v="590"/>
    <x v="734"/>
    <s v="A-L-0.5"/>
    <n v="4"/>
    <x v="734"/>
    <s v="jkennicottm5@yahoo.co.jp"/>
    <x v="0"/>
    <s v="Ara"/>
    <s v="L"/>
    <x v="1"/>
    <n v="7.77"/>
    <x v="113"/>
    <x v="2"/>
    <x v="1"/>
    <x v="1"/>
  </r>
  <r>
    <x v="765"/>
    <x v="457"/>
    <x v="735"/>
    <s v="R-D-0.2"/>
    <n v="3"/>
    <x v="735"/>
    <s v="gruggenm6@nymag.com"/>
    <x v="0"/>
    <s v="Rob"/>
    <s v="D"/>
    <x v="3"/>
    <n v="2.6849999999999996"/>
    <x v="36"/>
    <x v="0"/>
    <x v="2"/>
    <x v="0"/>
  </r>
  <r>
    <x v="766"/>
    <x v="591"/>
    <x v="736"/>
    <s v="E-D-1"/>
    <n v="3"/>
    <x v="736"/>
    <s v=""/>
    <x v="0"/>
    <s v="Exc"/>
    <s v="D"/>
    <x v="0"/>
    <n v="12.15"/>
    <x v="114"/>
    <x v="1"/>
    <x v="2"/>
    <x v="0"/>
  </r>
  <r>
    <x v="767"/>
    <x v="592"/>
    <x v="737"/>
    <s v="R-D-0.2"/>
    <n v="6"/>
    <x v="737"/>
    <s v="mfrightm8@harvard.edu"/>
    <x v="1"/>
    <s v="Rob"/>
    <s v="D"/>
    <x v="3"/>
    <n v="2.6849999999999996"/>
    <x v="103"/>
    <x v="0"/>
    <x v="2"/>
    <x v="1"/>
  </r>
  <r>
    <x v="768"/>
    <x v="402"/>
    <x v="738"/>
    <s v="R-D-2.5"/>
    <n v="2"/>
    <x v="738"/>
    <s v="btartem9@aol.com"/>
    <x v="0"/>
    <s v="Rob"/>
    <s v="D"/>
    <x v="2"/>
    <n v="20.584999999999997"/>
    <x v="13"/>
    <x v="0"/>
    <x v="2"/>
    <x v="0"/>
  </r>
  <r>
    <x v="769"/>
    <x v="593"/>
    <x v="739"/>
    <s v="R-D-0.2"/>
    <n v="4"/>
    <x v="739"/>
    <s v="ckrzysztofiakma@skyrock.com"/>
    <x v="0"/>
    <s v="Rob"/>
    <s v="D"/>
    <x v="3"/>
    <n v="2.6849999999999996"/>
    <x v="175"/>
    <x v="0"/>
    <x v="2"/>
    <x v="1"/>
  </r>
  <r>
    <x v="770"/>
    <x v="594"/>
    <x v="740"/>
    <s v="E-M-2.5"/>
    <n v="4"/>
    <x v="740"/>
    <s v="dpenquetmb@diigo.com"/>
    <x v="0"/>
    <s v="Exc"/>
    <s v="M"/>
    <x v="2"/>
    <n v="31.624999999999996"/>
    <x v="177"/>
    <x v="1"/>
    <x v="0"/>
    <x v="1"/>
  </r>
  <r>
    <x v="771"/>
    <x v="77"/>
    <x v="741"/>
    <s v="R-L-1"/>
    <n v="2"/>
    <x v="741"/>
    <s v=""/>
    <x v="2"/>
    <s v="Rob"/>
    <s v="L"/>
    <x v="0"/>
    <n v="11.95"/>
    <x v="178"/>
    <x v="0"/>
    <x v="1"/>
    <x v="1"/>
  </r>
  <r>
    <x v="772"/>
    <x v="595"/>
    <x v="742"/>
    <s v="R-M-0.5"/>
    <n v="1"/>
    <x v="742"/>
    <s v=""/>
    <x v="0"/>
    <s v="Rob"/>
    <s v="M"/>
    <x v="1"/>
    <n v="5.97"/>
    <x v="9"/>
    <x v="0"/>
    <x v="0"/>
    <x v="1"/>
  </r>
  <r>
    <x v="773"/>
    <x v="596"/>
    <x v="743"/>
    <s v="L-D-0.2"/>
    <n v="2"/>
    <x v="743"/>
    <s v=""/>
    <x v="2"/>
    <s v="Lib"/>
    <s v="D"/>
    <x v="3"/>
    <n v="3.8849999999999998"/>
    <x v="41"/>
    <x v="3"/>
    <x v="2"/>
    <x v="0"/>
  </r>
  <r>
    <x v="774"/>
    <x v="514"/>
    <x v="744"/>
    <s v="L-D-0.5"/>
    <n v="3"/>
    <x v="744"/>
    <s v="kferrettimf@huffingtonpost.com"/>
    <x v="1"/>
    <s v="Lib"/>
    <s v="D"/>
    <x v="1"/>
    <n v="7.77"/>
    <x v="102"/>
    <x v="3"/>
    <x v="2"/>
    <x v="1"/>
  </r>
  <r>
    <x v="775"/>
    <x v="54"/>
    <x v="745"/>
    <s v="R-L-2.5"/>
    <n v="5"/>
    <x v="745"/>
    <s v=""/>
    <x v="0"/>
    <s v="Rob"/>
    <s v="L"/>
    <x v="2"/>
    <n v="27.484999999999996"/>
    <x v="187"/>
    <x v="0"/>
    <x v="1"/>
    <x v="1"/>
  </r>
  <r>
    <x v="776"/>
    <x v="597"/>
    <x v="746"/>
    <s v="R-D-0.2"/>
    <n v="3"/>
    <x v="746"/>
    <s v=""/>
    <x v="0"/>
    <s v="Rob"/>
    <s v="D"/>
    <x v="3"/>
    <n v="2.6849999999999996"/>
    <x v="36"/>
    <x v="0"/>
    <x v="2"/>
    <x v="0"/>
  </r>
  <r>
    <x v="777"/>
    <x v="105"/>
    <x v="747"/>
    <s v="L-L-0.5"/>
    <n v="3"/>
    <x v="747"/>
    <s v="abalsdonemi@toplist.cz"/>
    <x v="0"/>
    <s v="Lib"/>
    <s v="L"/>
    <x v="1"/>
    <n v="9.51"/>
    <x v="32"/>
    <x v="3"/>
    <x v="1"/>
    <x v="1"/>
  </r>
  <r>
    <x v="778"/>
    <x v="210"/>
    <x v="748"/>
    <s v="A-M-1"/>
    <n v="6"/>
    <x v="748"/>
    <s v="bromeramj@list-manage.com"/>
    <x v="1"/>
    <s v="Ara"/>
    <s v="M"/>
    <x v="0"/>
    <n v="11.25"/>
    <x v="173"/>
    <x v="2"/>
    <x v="0"/>
    <x v="0"/>
  </r>
  <r>
    <x v="778"/>
    <x v="210"/>
    <x v="748"/>
    <s v="L-D-2.5"/>
    <n v="6"/>
    <x v="748"/>
    <s v="bromeramj@list-manage.com"/>
    <x v="1"/>
    <s v="Lib"/>
    <s v="D"/>
    <x v="2"/>
    <n v="29.784999999999997"/>
    <x v="39"/>
    <x v="3"/>
    <x v="2"/>
    <x v="0"/>
  </r>
  <r>
    <x v="779"/>
    <x v="598"/>
    <x v="749"/>
    <s v="E-M-2.5"/>
    <n v="1"/>
    <x v="749"/>
    <s v="cbrydeml@tuttocitta.it"/>
    <x v="0"/>
    <s v="Exc"/>
    <s v="M"/>
    <x v="2"/>
    <n v="31.624999999999996"/>
    <x v="176"/>
    <x v="1"/>
    <x v="0"/>
    <x v="0"/>
  </r>
  <r>
    <x v="780"/>
    <x v="360"/>
    <x v="750"/>
    <s v="E-L-0.2"/>
    <n v="2"/>
    <x v="750"/>
    <s v="senefermm@blog.com"/>
    <x v="0"/>
    <s v="Exc"/>
    <s v="L"/>
    <x v="3"/>
    <n v="4.4550000000000001"/>
    <x v="161"/>
    <x v="1"/>
    <x v="1"/>
    <x v="1"/>
  </r>
  <r>
    <x v="781"/>
    <x v="62"/>
    <x v="751"/>
    <s v="R-M-0.5"/>
    <n v="6"/>
    <x v="751"/>
    <s v="lhaggerstonemn@independent.co.uk"/>
    <x v="0"/>
    <s v="Rob"/>
    <s v="M"/>
    <x v="1"/>
    <n v="5.97"/>
    <x v="27"/>
    <x v="0"/>
    <x v="0"/>
    <x v="1"/>
  </r>
  <r>
    <x v="782"/>
    <x v="599"/>
    <x v="752"/>
    <s v="L-L-0.5"/>
    <n v="4"/>
    <x v="752"/>
    <s v="mgundrymo@omniture.com"/>
    <x v="1"/>
    <s v="Lib"/>
    <s v="L"/>
    <x v="1"/>
    <n v="9.51"/>
    <x v="82"/>
    <x v="3"/>
    <x v="1"/>
    <x v="1"/>
  </r>
  <r>
    <x v="783"/>
    <x v="600"/>
    <x v="753"/>
    <s v="L-D-0.5"/>
    <n v="2"/>
    <x v="753"/>
    <s v="bwellanmp@cafepress.com"/>
    <x v="0"/>
    <s v="Lib"/>
    <s v="D"/>
    <x v="1"/>
    <n v="7.77"/>
    <x v="42"/>
    <x v="3"/>
    <x v="2"/>
    <x v="1"/>
  </r>
  <r>
    <x v="784"/>
    <x v="601"/>
    <x v="745"/>
    <s v="L-L-1"/>
    <n v="5"/>
    <x v="745"/>
    <s v=""/>
    <x v="0"/>
    <s v="Lib"/>
    <s v="L"/>
    <x v="0"/>
    <n v="15.85"/>
    <x v="180"/>
    <x v="3"/>
    <x v="1"/>
    <x v="1"/>
  </r>
  <r>
    <x v="785"/>
    <x v="602"/>
    <x v="754"/>
    <s v="L-L-0.2"/>
    <n v="1"/>
    <x v="754"/>
    <s v="catchesonmr@xinhuanet.com"/>
    <x v="0"/>
    <s v="Lib"/>
    <s v="L"/>
    <x v="3"/>
    <n v="4.7549999999999999"/>
    <x v="7"/>
    <x v="3"/>
    <x v="1"/>
    <x v="0"/>
  </r>
  <r>
    <x v="786"/>
    <x v="603"/>
    <x v="755"/>
    <s v="E-M-1"/>
    <n v="4"/>
    <x v="755"/>
    <s v="estentonms@google.it"/>
    <x v="0"/>
    <s v="Exc"/>
    <s v="M"/>
    <x v="0"/>
    <n v="13.75"/>
    <x v="193"/>
    <x v="1"/>
    <x v="0"/>
    <x v="0"/>
  </r>
  <r>
    <x v="787"/>
    <x v="604"/>
    <x v="756"/>
    <s v="R-D-0.5"/>
    <n v="5"/>
    <x v="756"/>
    <s v="etrippmt@wp.com"/>
    <x v="0"/>
    <s v="Rob"/>
    <s v="D"/>
    <x v="1"/>
    <n v="5.3699999999999992"/>
    <x v="51"/>
    <x v="0"/>
    <x v="2"/>
    <x v="1"/>
  </r>
  <r>
    <x v="788"/>
    <x v="605"/>
    <x v="757"/>
    <s v="E-L-2.5"/>
    <n v="4"/>
    <x v="757"/>
    <s v="lmacmanusmu@imdb.com"/>
    <x v="0"/>
    <s v="Exc"/>
    <s v="L"/>
    <x v="2"/>
    <n v="34.154999999999994"/>
    <x v="56"/>
    <x v="1"/>
    <x v="1"/>
    <x v="1"/>
  </r>
  <r>
    <x v="789"/>
    <x v="606"/>
    <x v="758"/>
    <s v="L-L-1"/>
    <n v="3"/>
    <x v="758"/>
    <s v="tbenediktovichmv@ebay.com"/>
    <x v="0"/>
    <s v="Lib"/>
    <s v="L"/>
    <x v="0"/>
    <n v="15.85"/>
    <x v="46"/>
    <x v="3"/>
    <x v="1"/>
    <x v="0"/>
  </r>
  <r>
    <x v="790"/>
    <x v="446"/>
    <x v="759"/>
    <s v="A-M-0.2"/>
    <n v="5"/>
    <x v="759"/>
    <s v="cbournermw@chronoengine.com"/>
    <x v="0"/>
    <s v="Ara"/>
    <s v="M"/>
    <x v="3"/>
    <n v="3.375"/>
    <x v="19"/>
    <x v="2"/>
    <x v="0"/>
    <x v="0"/>
  </r>
  <r>
    <x v="791"/>
    <x v="18"/>
    <x v="760"/>
    <s v="A-D-1"/>
    <n v="3"/>
    <x v="760"/>
    <s v="oskermen3@hatena.ne.jp"/>
    <x v="0"/>
    <s v="Ara"/>
    <s v="D"/>
    <x v="0"/>
    <n v="9.9499999999999993"/>
    <x v="44"/>
    <x v="2"/>
    <x v="2"/>
    <x v="0"/>
  </r>
  <r>
    <x v="792"/>
    <x v="180"/>
    <x v="761"/>
    <s v="E-M-0.5"/>
    <n v="5"/>
    <x v="761"/>
    <s v="kheddanmy@icq.com"/>
    <x v="0"/>
    <s v="Exc"/>
    <s v="M"/>
    <x v="1"/>
    <n v="8.25"/>
    <x v="1"/>
    <x v="1"/>
    <x v="0"/>
    <x v="0"/>
  </r>
  <r>
    <x v="793"/>
    <x v="580"/>
    <x v="762"/>
    <s v="E-M-0.2"/>
    <n v="5"/>
    <x v="762"/>
    <s v="ichartersmz@abc.net.au"/>
    <x v="0"/>
    <s v="Exc"/>
    <s v="M"/>
    <x v="3"/>
    <n v="4.125"/>
    <x v="132"/>
    <x v="1"/>
    <x v="0"/>
    <x v="1"/>
  </r>
  <r>
    <x v="794"/>
    <x v="453"/>
    <x v="763"/>
    <s v="A-D-2.5"/>
    <n v="6"/>
    <x v="763"/>
    <s v="aroubertn0@tmall.com"/>
    <x v="0"/>
    <s v="Ara"/>
    <s v="D"/>
    <x v="2"/>
    <n v="22.884999999999998"/>
    <x v="170"/>
    <x v="2"/>
    <x v="2"/>
    <x v="0"/>
  </r>
  <r>
    <x v="795"/>
    <x v="259"/>
    <x v="764"/>
    <s v="A-D-0.2"/>
    <n v="1"/>
    <x v="764"/>
    <s v="hmairsn1@so-net.ne.jp"/>
    <x v="0"/>
    <s v="Ara"/>
    <s v="D"/>
    <x v="3"/>
    <n v="2.9849999999999999"/>
    <x v="55"/>
    <x v="2"/>
    <x v="2"/>
    <x v="1"/>
  </r>
  <r>
    <x v="796"/>
    <x v="607"/>
    <x v="765"/>
    <s v="E-M-1"/>
    <n v="2"/>
    <x v="765"/>
    <s v="hrainforthn2@blog.com"/>
    <x v="0"/>
    <s v="Exc"/>
    <s v="M"/>
    <x v="0"/>
    <n v="13.75"/>
    <x v="3"/>
    <x v="1"/>
    <x v="0"/>
    <x v="1"/>
  </r>
  <r>
    <x v="796"/>
    <x v="607"/>
    <x v="765"/>
    <s v="A-D-0.2"/>
    <n v="2"/>
    <x v="765"/>
    <s v="hrainforthn2@blog.com"/>
    <x v="0"/>
    <s v="Ara"/>
    <s v="D"/>
    <x v="3"/>
    <n v="2.9849999999999999"/>
    <x v="9"/>
    <x v="2"/>
    <x v="2"/>
    <x v="1"/>
  </r>
  <r>
    <x v="797"/>
    <x v="385"/>
    <x v="766"/>
    <s v="R-M-1"/>
    <n v="6"/>
    <x v="766"/>
    <s v="ijespern4@theglobeandmail.com"/>
    <x v="0"/>
    <s v="Rob"/>
    <s v="M"/>
    <x v="0"/>
    <n v="9.9499999999999993"/>
    <x v="33"/>
    <x v="0"/>
    <x v="0"/>
    <x v="1"/>
  </r>
  <r>
    <x v="798"/>
    <x v="608"/>
    <x v="767"/>
    <s v="R-D-2.5"/>
    <n v="4"/>
    <x v="767"/>
    <s v="ldwerryhousen5@gravatar.com"/>
    <x v="0"/>
    <s v="Rob"/>
    <s v="D"/>
    <x v="2"/>
    <n v="20.584999999999997"/>
    <x v="18"/>
    <x v="0"/>
    <x v="2"/>
    <x v="0"/>
  </r>
  <r>
    <x v="799"/>
    <x v="609"/>
    <x v="768"/>
    <s v="A-D-2.5"/>
    <n v="1"/>
    <x v="768"/>
    <s v="nbroomern6@examiner.com"/>
    <x v="0"/>
    <s v="Ara"/>
    <s v="D"/>
    <x v="2"/>
    <n v="22.884999999999998"/>
    <x v="156"/>
    <x v="2"/>
    <x v="2"/>
    <x v="1"/>
  </r>
  <r>
    <x v="800"/>
    <x v="147"/>
    <x v="769"/>
    <s v="E-L-0.5"/>
    <n v="1"/>
    <x v="769"/>
    <s v="kthoumassonn7@bloglovin.com"/>
    <x v="0"/>
    <s v="Exc"/>
    <s v="L"/>
    <x v="1"/>
    <n v="8.91"/>
    <x v="161"/>
    <x v="1"/>
    <x v="1"/>
    <x v="0"/>
  </r>
  <r>
    <x v="801"/>
    <x v="172"/>
    <x v="770"/>
    <s v="A-D-0.2"/>
    <n v="4"/>
    <x v="770"/>
    <s v="fhabberghamn8@discovery.com"/>
    <x v="0"/>
    <s v="Ara"/>
    <s v="D"/>
    <x v="3"/>
    <n v="2.9849999999999999"/>
    <x v="22"/>
    <x v="2"/>
    <x v="2"/>
    <x v="1"/>
  </r>
  <r>
    <x v="802"/>
    <x v="610"/>
    <x v="745"/>
    <s v="L-M-2.5"/>
    <n v="3"/>
    <x v="28"/>
    <s v=""/>
    <x v="0"/>
    <s v="Lib"/>
    <s v="M"/>
    <x v="2"/>
    <n v="33.464999999999996"/>
    <x v="64"/>
    <x v="3"/>
    <x v="0"/>
    <x v="1"/>
  </r>
  <r>
    <x v="803"/>
    <x v="611"/>
    <x v="771"/>
    <s v="A-D-2.5"/>
    <n v="5"/>
    <x v="771"/>
    <s v="ravrashinna@tamu.edu"/>
    <x v="0"/>
    <s v="Ara"/>
    <s v="D"/>
    <x v="2"/>
    <n v="22.884999999999998"/>
    <x v="15"/>
    <x v="2"/>
    <x v="2"/>
    <x v="1"/>
  </r>
  <r>
    <x v="804"/>
    <x v="612"/>
    <x v="772"/>
    <s v="E-M-0.5"/>
    <n v="5"/>
    <x v="772"/>
    <s v="mdoidgenb@etsy.com"/>
    <x v="0"/>
    <s v="Exc"/>
    <s v="M"/>
    <x v="1"/>
    <n v="8.25"/>
    <x v="1"/>
    <x v="1"/>
    <x v="0"/>
    <x v="1"/>
  </r>
  <r>
    <x v="805"/>
    <x v="613"/>
    <x v="773"/>
    <s v="R-L-0.5"/>
    <n v="4"/>
    <x v="773"/>
    <s v="jedinboronc@reverbnation.com"/>
    <x v="0"/>
    <s v="Rob"/>
    <s v="L"/>
    <x v="1"/>
    <n v="7.169999999999999"/>
    <x v="139"/>
    <x v="0"/>
    <x v="1"/>
    <x v="0"/>
  </r>
  <r>
    <x v="806"/>
    <x v="611"/>
    <x v="774"/>
    <s v="L-M-0.2"/>
    <n v="1"/>
    <x v="774"/>
    <s v="ttewelsonnd@cdbaby.com"/>
    <x v="0"/>
    <s v="Lib"/>
    <s v="M"/>
    <x v="3"/>
    <n v="4.3650000000000002"/>
    <x v="189"/>
    <x v="3"/>
    <x v="0"/>
    <x v="1"/>
  </r>
  <r>
    <x v="807"/>
    <x v="493"/>
    <x v="760"/>
    <s v="E-M-0.2"/>
    <n v="2"/>
    <x v="28"/>
    <s v="oskermen3@hatena.ne.jp"/>
    <x v="0"/>
    <s v="Exc"/>
    <s v="M"/>
    <x v="3"/>
    <n v="4.125"/>
    <x v="112"/>
    <x v="1"/>
    <x v="0"/>
    <x v="0"/>
  </r>
  <r>
    <x v="808"/>
    <x v="614"/>
    <x v="775"/>
    <s v="E-M-0.2"/>
    <n v="2"/>
    <x v="775"/>
    <s v="ddrewittnf@mapquest.com"/>
    <x v="0"/>
    <s v="Exc"/>
    <s v="M"/>
    <x v="3"/>
    <n v="4.125"/>
    <x v="112"/>
    <x v="1"/>
    <x v="0"/>
    <x v="0"/>
  </r>
  <r>
    <x v="809"/>
    <x v="151"/>
    <x v="776"/>
    <s v="A-D-0.5"/>
    <n v="6"/>
    <x v="776"/>
    <s v="agladhillng@stanford.edu"/>
    <x v="0"/>
    <s v="Ara"/>
    <s v="D"/>
    <x v="1"/>
    <n v="5.97"/>
    <x v="27"/>
    <x v="2"/>
    <x v="2"/>
    <x v="0"/>
  </r>
  <r>
    <x v="810"/>
    <x v="489"/>
    <x v="777"/>
    <s v="E-D-2.5"/>
    <n v="6"/>
    <x v="777"/>
    <s v="mlorineznh@whitehouse.gov"/>
    <x v="0"/>
    <s v="Exc"/>
    <s v="D"/>
    <x v="2"/>
    <n v="27.945"/>
    <x v="164"/>
    <x v="1"/>
    <x v="2"/>
    <x v="1"/>
  </r>
  <r>
    <x v="811"/>
    <x v="615"/>
    <x v="778"/>
    <s v="A-M-2.5"/>
    <n v="2"/>
    <x v="778"/>
    <s v=""/>
    <x v="0"/>
    <s v="Ara"/>
    <s v="M"/>
    <x v="2"/>
    <n v="25.874999999999996"/>
    <x v="95"/>
    <x v="2"/>
    <x v="0"/>
    <x v="0"/>
  </r>
  <r>
    <x v="812"/>
    <x v="616"/>
    <x v="779"/>
    <s v="A-D-0.2"/>
    <n v="3"/>
    <x v="779"/>
    <s v="mvannj@wikipedia.org"/>
    <x v="0"/>
    <s v="Ara"/>
    <s v="D"/>
    <x v="3"/>
    <n v="2.9849999999999999"/>
    <x v="169"/>
    <x v="2"/>
    <x v="2"/>
    <x v="0"/>
  </r>
  <r>
    <x v="813"/>
    <x v="578"/>
    <x v="780"/>
    <s v="E-L-0.5"/>
    <n v="6"/>
    <x v="780"/>
    <s v=""/>
    <x v="0"/>
    <s v="Exc"/>
    <s v="L"/>
    <x v="1"/>
    <n v="8.91"/>
    <x v="119"/>
    <x v="1"/>
    <x v="1"/>
    <x v="1"/>
  </r>
  <r>
    <x v="814"/>
    <x v="617"/>
    <x v="781"/>
    <s v="A-L-0.2"/>
    <n v="6"/>
    <x v="781"/>
    <s v="jethelstonnl@creativecommons.org"/>
    <x v="0"/>
    <s v="Ara"/>
    <s v="L"/>
    <x v="3"/>
    <n v="3.8849999999999998"/>
    <x v="102"/>
    <x v="2"/>
    <x v="1"/>
    <x v="0"/>
  </r>
  <r>
    <x v="814"/>
    <x v="617"/>
    <x v="781"/>
    <s v="A-M-0.2"/>
    <n v="2"/>
    <x v="781"/>
    <s v="jethelstonnl@creativecommons.org"/>
    <x v="0"/>
    <s v="Ara"/>
    <s v="M"/>
    <x v="3"/>
    <n v="3.375"/>
    <x v="52"/>
    <x v="2"/>
    <x v="0"/>
    <x v="0"/>
  </r>
  <r>
    <x v="815"/>
    <x v="155"/>
    <x v="782"/>
    <s v="L-D-0.5"/>
    <n v="1"/>
    <x v="782"/>
    <s v="peberznn@woothemes.com"/>
    <x v="0"/>
    <s v="Lib"/>
    <s v="D"/>
    <x v="1"/>
    <n v="7.77"/>
    <x v="41"/>
    <x v="3"/>
    <x v="2"/>
    <x v="0"/>
  </r>
  <r>
    <x v="816"/>
    <x v="461"/>
    <x v="783"/>
    <s v="L-D-2.5"/>
    <n v="4"/>
    <x v="783"/>
    <s v="bgaishno@altervista.org"/>
    <x v="0"/>
    <s v="Lib"/>
    <s v="D"/>
    <x v="2"/>
    <n v="29.784999999999997"/>
    <x v="129"/>
    <x v="3"/>
    <x v="2"/>
    <x v="0"/>
  </r>
  <r>
    <x v="817"/>
    <x v="87"/>
    <x v="784"/>
    <s v="A-D-1"/>
    <n v="2"/>
    <x v="784"/>
    <s v="ldantonnp@miitbeian.gov.cn"/>
    <x v="0"/>
    <s v="Ara"/>
    <s v="D"/>
    <x v="0"/>
    <n v="9.9499999999999993"/>
    <x v="0"/>
    <x v="2"/>
    <x v="2"/>
    <x v="1"/>
  </r>
  <r>
    <x v="818"/>
    <x v="618"/>
    <x v="785"/>
    <s v="R-L-0.5"/>
    <n v="5"/>
    <x v="785"/>
    <s v="smorrallnq@answers.com"/>
    <x v="0"/>
    <s v="Rob"/>
    <s v="L"/>
    <x v="1"/>
    <n v="7.169999999999999"/>
    <x v="66"/>
    <x v="0"/>
    <x v="1"/>
    <x v="0"/>
  </r>
  <r>
    <x v="819"/>
    <x v="619"/>
    <x v="786"/>
    <s v="L-D-2.5"/>
    <n v="3"/>
    <x v="786"/>
    <s v="dcrownshawnr@photobucket.com"/>
    <x v="0"/>
    <s v="Lib"/>
    <s v="D"/>
    <x v="2"/>
    <n v="29.784999999999997"/>
    <x v="49"/>
    <x v="3"/>
    <x v="2"/>
    <x v="1"/>
  </r>
  <r>
    <x v="820"/>
    <x v="440"/>
    <x v="760"/>
    <s v="L-M-0.2"/>
    <n v="2"/>
    <x v="28"/>
    <s v="oskermen3@hatena.ne.jp"/>
    <x v="0"/>
    <s v="Lib"/>
    <s v="M"/>
    <x v="3"/>
    <n v="4.3650000000000002"/>
    <x v="31"/>
    <x v="3"/>
    <x v="0"/>
    <x v="0"/>
  </r>
  <r>
    <x v="821"/>
    <x v="489"/>
    <x v="787"/>
    <s v="R-L-2.5"/>
    <n v="5"/>
    <x v="787"/>
    <s v="jreddochnt@sun.com"/>
    <x v="0"/>
    <s v="Rob"/>
    <s v="L"/>
    <x v="2"/>
    <n v="27.484999999999996"/>
    <x v="187"/>
    <x v="0"/>
    <x v="1"/>
    <x v="1"/>
  </r>
  <r>
    <x v="822"/>
    <x v="620"/>
    <x v="788"/>
    <s v="L-M-0.5"/>
    <n v="4"/>
    <x v="788"/>
    <s v="stitleynu@whitehouse.gov"/>
    <x v="0"/>
    <s v="Lib"/>
    <s v="M"/>
    <x v="1"/>
    <n v="8.73"/>
    <x v="190"/>
    <x v="3"/>
    <x v="0"/>
    <x v="1"/>
  </r>
  <r>
    <x v="823"/>
    <x v="621"/>
    <x v="789"/>
    <s v="A-L-2.5"/>
    <n v="6"/>
    <x v="789"/>
    <s v="rsimaonv@simplemachines.org"/>
    <x v="0"/>
    <s v="Ara"/>
    <s v="L"/>
    <x v="2"/>
    <n v="29.784999999999997"/>
    <x v="39"/>
    <x v="2"/>
    <x v="1"/>
    <x v="1"/>
  </r>
  <r>
    <x v="824"/>
    <x v="374"/>
    <x v="790"/>
    <s v="A-M-2.5"/>
    <n v="1"/>
    <x v="790"/>
    <s v=""/>
    <x v="0"/>
    <s v="Ara"/>
    <s v="M"/>
    <x v="2"/>
    <n v="25.874999999999996"/>
    <x v="145"/>
    <x v="2"/>
    <x v="0"/>
    <x v="1"/>
  </r>
  <r>
    <x v="825"/>
    <x v="345"/>
    <x v="791"/>
    <s v="L-D-1"/>
    <n v="6"/>
    <x v="791"/>
    <s v="nchisholmnx@example.com"/>
    <x v="0"/>
    <s v="Lib"/>
    <s v="D"/>
    <x v="0"/>
    <n v="12.95"/>
    <x v="17"/>
    <x v="3"/>
    <x v="2"/>
    <x v="0"/>
  </r>
  <r>
    <x v="826"/>
    <x v="622"/>
    <x v="792"/>
    <s v="R-M-1"/>
    <n v="1"/>
    <x v="792"/>
    <s v="goatsny@live.com"/>
    <x v="0"/>
    <s v="Rob"/>
    <s v="M"/>
    <x v="0"/>
    <n v="9.9499999999999993"/>
    <x v="138"/>
    <x v="0"/>
    <x v="0"/>
    <x v="0"/>
  </r>
  <r>
    <x v="827"/>
    <x v="623"/>
    <x v="793"/>
    <s v="L-M-1"/>
    <n v="2"/>
    <x v="793"/>
    <s v="mbirkinnz@java.com"/>
    <x v="0"/>
    <s v="Lib"/>
    <s v="M"/>
    <x v="0"/>
    <n v="14.55"/>
    <x v="194"/>
    <x v="3"/>
    <x v="0"/>
    <x v="0"/>
  </r>
  <r>
    <x v="828"/>
    <x v="354"/>
    <x v="794"/>
    <s v="R-L-0.2"/>
    <n v="6"/>
    <x v="794"/>
    <s v="rpysono0@constantcontact.com"/>
    <x v="1"/>
    <s v="Rob"/>
    <s v="L"/>
    <x v="3"/>
    <n v="3.5849999999999995"/>
    <x v="137"/>
    <x v="0"/>
    <x v="1"/>
    <x v="1"/>
  </r>
  <r>
    <x v="829"/>
    <x v="624"/>
    <x v="795"/>
    <s v="A-M-0.5"/>
    <n v="1"/>
    <x v="795"/>
    <s v="mmacconnechieo9@reuters.com"/>
    <x v="0"/>
    <s v="Ara"/>
    <s v="M"/>
    <x v="1"/>
    <n v="6.75"/>
    <x v="52"/>
    <x v="2"/>
    <x v="0"/>
    <x v="0"/>
  </r>
  <r>
    <x v="830"/>
    <x v="561"/>
    <x v="796"/>
    <s v="A-D-0.5"/>
    <n v="3"/>
    <x v="796"/>
    <s v="rtreachero2@usa.gov"/>
    <x v="1"/>
    <s v="Ara"/>
    <s v="D"/>
    <x v="1"/>
    <n v="5.97"/>
    <x v="8"/>
    <x v="2"/>
    <x v="2"/>
    <x v="1"/>
  </r>
  <r>
    <x v="831"/>
    <x v="42"/>
    <x v="797"/>
    <s v="A-L-2.5"/>
    <n v="1"/>
    <x v="797"/>
    <s v="bfattorinio3@quantcast.com"/>
    <x v="1"/>
    <s v="Ara"/>
    <s v="L"/>
    <x v="2"/>
    <n v="29.784999999999997"/>
    <x v="91"/>
    <x v="2"/>
    <x v="1"/>
    <x v="0"/>
  </r>
  <r>
    <x v="832"/>
    <x v="267"/>
    <x v="798"/>
    <s v="E-M-0.5"/>
    <n v="5"/>
    <x v="798"/>
    <s v="mpalleskeo4@nyu.edu"/>
    <x v="0"/>
    <s v="Exc"/>
    <s v="M"/>
    <x v="1"/>
    <n v="8.25"/>
    <x v="1"/>
    <x v="1"/>
    <x v="0"/>
    <x v="0"/>
  </r>
  <r>
    <x v="833"/>
    <x v="625"/>
    <x v="799"/>
    <s v="R-M-0.5"/>
    <n v="3"/>
    <x v="799"/>
    <s v=""/>
    <x v="0"/>
    <s v="Rob"/>
    <s v="M"/>
    <x v="1"/>
    <n v="5.97"/>
    <x v="8"/>
    <x v="0"/>
    <x v="0"/>
    <x v="0"/>
  </r>
  <r>
    <x v="834"/>
    <x v="616"/>
    <x v="800"/>
    <s v="E-D-0.5"/>
    <n v="1"/>
    <x v="800"/>
    <s v="fantcliffeo6@amazon.co.jp"/>
    <x v="1"/>
    <s v="Exc"/>
    <s v="D"/>
    <x v="1"/>
    <n v="7.29"/>
    <x v="35"/>
    <x v="1"/>
    <x v="2"/>
    <x v="0"/>
  </r>
  <r>
    <x v="835"/>
    <x v="626"/>
    <x v="801"/>
    <s v="E-L-1"/>
    <n v="2"/>
    <x v="801"/>
    <s v="pmatignono7@harvard.edu"/>
    <x v="2"/>
    <s v="Exc"/>
    <s v="L"/>
    <x v="0"/>
    <n v="14.85"/>
    <x v="195"/>
    <x v="1"/>
    <x v="1"/>
    <x v="0"/>
  </r>
  <r>
    <x v="836"/>
    <x v="52"/>
    <x v="802"/>
    <s v="A-M-1"/>
    <n v="2"/>
    <x v="802"/>
    <s v="cweondo8@theglobeandmail.com"/>
    <x v="0"/>
    <s v="Ara"/>
    <s v="M"/>
    <x v="0"/>
    <n v="11.25"/>
    <x v="122"/>
    <x v="2"/>
    <x v="0"/>
    <x v="1"/>
  </r>
  <r>
    <x v="837"/>
    <x v="622"/>
    <x v="795"/>
    <s v="R-M-0.2"/>
    <n v="4"/>
    <x v="795"/>
    <s v="mmacconnechieo9@reuters.com"/>
    <x v="0"/>
    <s v="Rob"/>
    <s v="M"/>
    <x v="3"/>
    <n v="2.9849999999999999"/>
    <x v="22"/>
    <x v="0"/>
    <x v="0"/>
    <x v="0"/>
  </r>
  <r>
    <x v="838"/>
    <x v="627"/>
    <x v="803"/>
    <s v="A-L-1"/>
    <n v="2"/>
    <x v="803"/>
    <s v="jskentelberyoa@paypal.com"/>
    <x v="0"/>
    <s v="Ara"/>
    <s v="L"/>
    <x v="0"/>
    <n v="12.95"/>
    <x v="109"/>
    <x v="2"/>
    <x v="1"/>
    <x v="1"/>
  </r>
  <r>
    <x v="839"/>
    <x v="628"/>
    <x v="804"/>
    <s v="L-M-0.5"/>
    <n v="5"/>
    <x v="804"/>
    <s v="ocomberob@goo.gl"/>
    <x v="1"/>
    <s v="Lib"/>
    <s v="M"/>
    <x v="1"/>
    <n v="8.73"/>
    <x v="34"/>
    <x v="3"/>
    <x v="0"/>
    <x v="1"/>
  </r>
  <r>
    <x v="839"/>
    <x v="628"/>
    <x v="804"/>
    <s v="A-L-0.5"/>
    <n v="6"/>
    <x v="804"/>
    <s v="ocomberob@goo.gl"/>
    <x v="1"/>
    <s v="Ara"/>
    <s v="L"/>
    <x v="1"/>
    <n v="7.77"/>
    <x v="162"/>
    <x v="2"/>
    <x v="1"/>
    <x v="1"/>
  </r>
  <r>
    <x v="840"/>
    <x v="629"/>
    <x v="805"/>
    <s v="L-L-0.5"/>
    <n v="3"/>
    <x v="805"/>
    <s v="ztramelod@netlog.com"/>
    <x v="0"/>
    <s v="Lib"/>
    <s v="L"/>
    <x v="1"/>
    <n v="9.51"/>
    <x v="32"/>
    <x v="3"/>
    <x v="1"/>
    <x v="1"/>
  </r>
  <r>
    <x v="841"/>
    <x v="630"/>
    <x v="806"/>
    <s v="R-L-2.5"/>
    <n v="1"/>
    <x v="806"/>
    <s v=""/>
    <x v="0"/>
    <s v="Rob"/>
    <s v="L"/>
    <x v="2"/>
    <n v="27.484999999999996"/>
    <x v="142"/>
    <x v="0"/>
    <x v="1"/>
    <x v="0"/>
  </r>
  <r>
    <x v="842"/>
    <x v="631"/>
    <x v="807"/>
    <s v="E-D-0.2"/>
    <n v="3"/>
    <x v="807"/>
    <s v=""/>
    <x v="0"/>
    <s v="Exc"/>
    <s v="D"/>
    <x v="3"/>
    <n v="3.645"/>
    <x v="47"/>
    <x v="1"/>
    <x v="2"/>
    <x v="1"/>
  </r>
  <r>
    <x v="843"/>
    <x v="229"/>
    <x v="808"/>
    <s v="R-L-0.2"/>
    <n v="2"/>
    <x v="808"/>
    <s v="chatfullog@ebay.com"/>
    <x v="0"/>
    <s v="Rob"/>
    <s v="L"/>
    <x v="3"/>
    <n v="3.5849999999999995"/>
    <x v="53"/>
    <x v="0"/>
    <x v="1"/>
    <x v="1"/>
  </r>
  <r>
    <x v="844"/>
    <x v="632"/>
    <x v="809"/>
    <s v="A-L-0.2"/>
    <n v="6"/>
    <x v="809"/>
    <s v=""/>
    <x v="0"/>
    <s v="Ara"/>
    <s v="L"/>
    <x v="3"/>
    <n v="3.8849999999999998"/>
    <x v="102"/>
    <x v="2"/>
    <x v="1"/>
    <x v="0"/>
  </r>
  <r>
    <x v="845"/>
    <x v="633"/>
    <x v="810"/>
    <s v="A-D-2.5"/>
    <n v="5"/>
    <x v="810"/>
    <s v="kmarrisonoq@dropbox.com"/>
    <x v="0"/>
    <s v="Ara"/>
    <s v="D"/>
    <x v="2"/>
    <n v="22.884999999999998"/>
    <x v="15"/>
    <x v="2"/>
    <x v="2"/>
    <x v="0"/>
  </r>
  <r>
    <x v="846"/>
    <x v="95"/>
    <x v="811"/>
    <s v="A-M-2.5"/>
    <n v="3"/>
    <x v="811"/>
    <s v="lagnolooj@pinterest.com"/>
    <x v="0"/>
    <s v="Ara"/>
    <s v="M"/>
    <x v="2"/>
    <n v="25.874999999999996"/>
    <x v="57"/>
    <x v="2"/>
    <x v="0"/>
    <x v="0"/>
  </r>
  <r>
    <x v="847"/>
    <x v="521"/>
    <x v="812"/>
    <s v="R-D-0.5"/>
    <n v="1"/>
    <x v="812"/>
    <s v="dkiddyok@fda.gov"/>
    <x v="0"/>
    <s v="Rob"/>
    <s v="D"/>
    <x v="1"/>
    <n v="5.3699999999999992"/>
    <x v="147"/>
    <x v="0"/>
    <x v="2"/>
    <x v="0"/>
  </r>
  <r>
    <x v="848"/>
    <x v="76"/>
    <x v="813"/>
    <s v="R-D-2.5"/>
    <n v="6"/>
    <x v="813"/>
    <s v="hpetroulisol@state.tx.us"/>
    <x v="1"/>
    <s v="Rob"/>
    <s v="D"/>
    <x v="2"/>
    <n v="20.584999999999997"/>
    <x v="99"/>
    <x v="0"/>
    <x v="2"/>
    <x v="1"/>
  </r>
  <r>
    <x v="849"/>
    <x v="634"/>
    <x v="814"/>
    <s v="L-M-0.5"/>
    <n v="2"/>
    <x v="814"/>
    <s v="mschollom@taobao.com"/>
    <x v="0"/>
    <s v="Lib"/>
    <s v="M"/>
    <x v="1"/>
    <n v="8.73"/>
    <x v="92"/>
    <x v="3"/>
    <x v="0"/>
    <x v="1"/>
  </r>
  <r>
    <x v="850"/>
    <x v="635"/>
    <x v="815"/>
    <s v="E-L-0.2"/>
    <n v="3"/>
    <x v="815"/>
    <s v="kfersonon@g.co"/>
    <x v="0"/>
    <s v="Exc"/>
    <s v="L"/>
    <x v="3"/>
    <n v="4.4550000000000001"/>
    <x v="77"/>
    <x v="1"/>
    <x v="1"/>
    <x v="1"/>
  </r>
  <r>
    <x v="851"/>
    <x v="636"/>
    <x v="816"/>
    <s v="A-L-0.2"/>
    <n v="2"/>
    <x v="816"/>
    <s v="bkellowayoo@omniture.com"/>
    <x v="0"/>
    <s v="Ara"/>
    <s v="L"/>
    <x v="3"/>
    <n v="3.8849999999999998"/>
    <x v="41"/>
    <x v="2"/>
    <x v="1"/>
    <x v="0"/>
  </r>
  <r>
    <x v="852"/>
    <x v="637"/>
    <x v="817"/>
    <s v="R-D-0.2"/>
    <n v="1"/>
    <x v="817"/>
    <s v="soliffeop@yellowbook.com"/>
    <x v="0"/>
    <s v="Rob"/>
    <s v="D"/>
    <x v="3"/>
    <n v="2.6849999999999996"/>
    <x v="97"/>
    <x v="0"/>
    <x v="2"/>
    <x v="0"/>
  </r>
  <r>
    <x v="853"/>
    <x v="182"/>
    <x v="810"/>
    <s v="R-D-2.5"/>
    <n v="1"/>
    <x v="810"/>
    <s v="kmarrisonoq@dropbox.com"/>
    <x v="0"/>
    <s v="Rob"/>
    <s v="D"/>
    <x v="2"/>
    <n v="20.584999999999997"/>
    <x v="123"/>
    <x v="0"/>
    <x v="2"/>
    <x v="0"/>
  </r>
  <r>
    <x v="854"/>
    <x v="479"/>
    <x v="818"/>
    <s v="A-D-2.5"/>
    <n v="5"/>
    <x v="818"/>
    <s v="cdolohuntyor@dailymail.co.uk"/>
    <x v="0"/>
    <s v="Ara"/>
    <s v="D"/>
    <x v="2"/>
    <n v="22.884999999999998"/>
    <x v="15"/>
    <x v="2"/>
    <x v="2"/>
    <x v="0"/>
  </r>
  <r>
    <x v="855"/>
    <x v="638"/>
    <x v="819"/>
    <s v="E-M-0.2"/>
    <n v="5"/>
    <x v="819"/>
    <s v="pvasilenkoos@addtoany.com"/>
    <x v="2"/>
    <s v="Exc"/>
    <s v="M"/>
    <x v="3"/>
    <n v="4.125"/>
    <x v="132"/>
    <x v="1"/>
    <x v="0"/>
    <x v="1"/>
  </r>
  <r>
    <x v="856"/>
    <x v="639"/>
    <x v="820"/>
    <s v="L-L-0.5"/>
    <n v="6"/>
    <x v="820"/>
    <s v="rschankelborgot@ameblo.jp"/>
    <x v="0"/>
    <s v="Lib"/>
    <s v="L"/>
    <x v="1"/>
    <n v="9.51"/>
    <x v="30"/>
    <x v="3"/>
    <x v="1"/>
    <x v="0"/>
  </r>
  <r>
    <x v="857"/>
    <x v="640"/>
    <x v="821"/>
    <s v="R-D-2.5"/>
    <n v="4"/>
    <x v="821"/>
    <s v=""/>
    <x v="1"/>
    <s v="Rob"/>
    <s v="D"/>
    <x v="2"/>
    <n v="20.584999999999997"/>
    <x v="18"/>
    <x v="0"/>
    <x v="2"/>
    <x v="0"/>
  </r>
  <r>
    <x v="858"/>
    <x v="612"/>
    <x v="822"/>
    <s v="E-M-2.5"/>
    <n v="5"/>
    <x v="822"/>
    <s v=""/>
    <x v="0"/>
    <s v="Exc"/>
    <s v="M"/>
    <x v="2"/>
    <n v="31.624999999999996"/>
    <x v="196"/>
    <x v="1"/>
    <x v="0"/>
    <x v="1"/>
  </r>
  <r>
    <x v="859"/>
    <x v="641"/>
    <x v="823"/>
    <s v="R-D-0.5"/>
    <n v="6"/>
    <x v="823"/>
    <s v="bcargenow@geocities.jp"/>
    <x v="0"/>
    <s v="Rob"/>
    <s v="D"/>
    <x v="1"/>
    <n v="5.3699999999999992"/>
    <x v="111"/>
    <x v="0"/>
    <x v="2"/>
    <x v="0"/>
  </r>
  <r>
    <x v="860"/>
    <x v="36"/>
    <x v="824"/>
    <s v="E-D-1"/>
    <n v="2"/>
    <x v="824"/>
    <s v="rsticklerox@printfriendly.com"/>
    <x v="2"/>
    <s v="Exc"/>
    <s v="D"/>
    <x v="0"/>
    <n v="12.15"/>
    <x v="76"/>
    <x v="1"/>
    <x v="2"/>
    <x v="1"/>
  </r>
  <r>
    <x v="861"/>
    <x v="642"/>
    <x v="825"/>
    <s v="R-L-0.5"/>
    <n v="5"/>
    <x v="825"/>
    <s v=""/>
    <x v="0"/>
    <s v="Rob"/>
    <s v="L"/>
    <x v="1"/>
    <n v="7.169999999999999"/>
    <x v="66"/>
    <x v="0"/>
    <x v="1"/>
    <x v="1"/>
  </r>
  <r>
    <x v="862"/>
    <x v="219"/>
    <x v="822"/>
    <s v="L-M-1"/>
    <n v="5"/>
    <x v="28"/>
    <s v=""/>
    <x v="0"/>
    <s v="Lib"/>
    <s v="M"/>
    <x v="0"/>
    <n v="14.55"/>
    <x v="45"/>
    <x v="3"/>
    <x v="0"/>
    <x v="1"/>
  </r>
  <r>
    <x v="863"/>
    <x v="643"/>
    <x v="826"/>
    <s v="L-L-1"/>
    <n v="3"/>
    <x v="826"/>
    <s v=""/>
    <x v="1"/>
    <s v="Lib"/>
    <s v="L"/>
    <x v="0"/>
    <n v="15.85"/>
    <x v="46"/>
    <x v="3"/>
    <x v="1"/>
    <x v="1"/>
  </r>
  <r>
    <x v="864"/>
    <x v="644"/>
    <x v="827"/>
    <s v="R-L-0.2"/>
    <n v="1"/>
    <x v="827"/>
    <s v="djevonp1@ibm.com"/>
    <x v="0"/>
    <s v="Rob"/>
    <s v="L"/>
    <x v="3"/>
    <n v="3.5849999999999995"/>
    <x v="60"/>
    <x v="0"/>
    <x v="1"/>
    <x v="0"/>
  </r>
  <r>
    <x v="865"/>
    <x v="136"/>
    <x v="828"/>
    <s v="E-M-2.5"/>
    <n v="5"/>
    <x v="828"/>
    <s v="hrannerp2@omniture.com"/>
    <x v="0"/>
    <s v="Exc"/>
    <s v="M"/>
    <x v="2"/>
    <n v="31.624999999999996"/>
    <x v="196"/>
    <x v="1"/>
    <x v="0"/>
    <x v="1"/>
  </r>
  <r>
    <x v="866"/>
    <x v="645"/>
    <x v="829"/>
    <s v="L-M-0.5"/>
    <n v="2"/>
    <x v="829"/>
    <s v="bimriep3@addtoany.com"/>
    <x v="0"/>
    <s v="Lib"/>
    <s v="M"/>
    <x v="1"/>
    <n v="8.73"/>
    <x v="92"/>
    <x v="3"/>
    <x v="0"/>
    <x v="1"/>
  </r>
  <r>
    <x v="867"/>
    <x v="646"/>
    <x v="830"/>
    <s v="A-L-2.5"/>
    <n v="5"/>
    <x v="830"/>
    <s v="dsopperp4@eventbrite.com"/>
    <x v="0"/>
    <s v="Ara"/>
    <s v="L"/>
    <x v="2"/>
    <n v="29.784999999999997"/>
    <x v="74"/>
    <x v="2"/>
    <x v="1"/>
    <x v="1"/>
  </r>
  <r>
    <x v="868"/>
    <x v="647"/>
    <x v="831"/>
    <s v="A-M-0.5"/>
    <n v="6"/>
    <x v="831"/>
    <s v=""/>
    <x v="0"/>
    <s v="Ara"/>
    <s v="M"/>
    <x v="1"/>
    <n v="6.75"/>
    <x v="61"/>
    <x v="2"/>
    <x v="0"/>
    <x v="0"/>
  </r>
  <r>
    <x v="869"/>
    <x v="591"/>
    <x v="832"/>
    <s v="A-M-0.5"/>
    <n v="4"/>
    <x v="832"/>
    <s v="lledgleyp6@de.vu"/>
    <x v="0"/>
    <s v="Ara"/>
    <s v="M"/>
    <x v="1"/>
    <n v="6.75"/>
    <x v="25"/>
    <x v="2"/>
    <x v="0"/>
    <x v="0"/>
  </r>
  <r>
    <x v="870"/>
    <x v="648"/>
    <x v="833"/>
    <s v="L-D-1"/>
    <n v="3"/>
    <x v="833"/>
    <s v="tmenaryp7@phoca.cz"/>
    <x v="0"/>
    <s v="Lib"/>
    <s v="D"/>
    <x v="0"/>
    <n v="12.95"/>
    <x v="5"/>
    <x v="3"/>
    <x v="2"/>
    <x v="1"/>
  </r>
  <r>
    <x v="871"/>
    <x v="191"/>
    <x v="834"/>
    <s v="R-L-1"/>
    <n v="5"/>
    <x v="834"/>
    <s v="gciccottip8@so-net.ne.jp"/>
    <x v="0"/>
    <s v="Rob"/>
    <s v="L"/>
    <x v="0"/>
    <n v="11.95"/>
    <x v="143"/>
    <x v="0"/>
    <x v="1"/>
    <x v="1"/>
  </r>
  <r>
    <x v="872"/>
    <x v="649"/>
    <x v="835"/>
    <s v="R-L-0.2"/>
    <n v="3"/>
    <x v="835"/>
    <s v=""/>
    <x v="0"/>
    <s v="Rob"/>
    <s v="L"/>
    <x v="3"/>
    <n v="3.5849999999999995"/>
    <x v="127"/>
    <x v="0"/>
    <x v="1"/>
    <x v="1"/>
  </r>
  <r>
    <x v="873"/>
    <x v="553"/>
    <x v="836"/>
    <s v="A-D-2.5"/>
    <n v="4"/>
    <x v="836"/>
    <s v="wjallinpa@pcworld.com"/>
    <x v="0"/>
    <s v="Ara"/>
    <s v="D"/>
    <x v="2"/>
    <n v="22.884999999999998"/>
    <x v="21"/>
    <x v="2"/>
    <x v="2"/>
    <x v="1"/>
  </r>
  <r>
    <x v="874"/>
    <x v="584"/>
    <x v="837"/>
    <s v="A-M-1"/>
    <n v="4"/>
    <x v="837"/>
    <s v="mbogeypb@thetimes.co.uk"/>
    <x v="0"/>
    <s v="Ara"/>
    <s v="M"/>
    <x v="0"/>
    <n v="11.25"/>
    <x v="157"/>
    <x v="2"/>
    <x v="0"/>
    <x v="0"/>
  </r>
  <r>
    <x v="875"/>
    <x v="650"/>
    <x v="838"/>
    <s v="R-M-2.5"/>
    <n v="6"/>
    <x v="838"/>
    <s v=""/>
    <x v="0"/>
    <s v="Rob"/>
    <s v="M"/>
    <x v="2"/>
    <n v="22.884999999999998"/>
    <x v="170"/>
    <x v="0"/>
    <x v="0"/>
    <x v="0"/>
  </r>
  <r>
    <x v="876"/>
    <x v="121"/>
    <x v="839"/>
    <s v="A-M-0.5"/>
    <n v="1"/>
    <x v="839"/>
    <s v="mcobbledickpd@ucsd.edu"/>
    <x v="0"/>
    <s v="Ara"/>
    <s v="M"/>
    <x v="1"/>
    <n v="6.75"/>
    <x v="52"/>
    <x v="2"/>
    <x v="0"/>
    <x v="1"/>
  </r>
  <r>
    <x v="877"/>
    <x v="472"/>
    <x v="840"/>
    <s v="A-M-1"/>
    <n v="4"/>
    <x v="840"/>
    <s v="alewrype@whitehouse.gov"/>
    <x v="0"/>
    <s v="Ara"/>
    <s v="M"/>
    <x v="0"/>
    <n v="11.25"/>
    <x v="157"/>
    <x v="2"/>
    <x v="0"/>
    <x v="1"/>
  </r>
  <r>
    <x v="878"/>
    <x v="594"/>
    <x v="841"/>
    <s v="E-D-2.5"/>
    <n v="3"/>
    <x v="841"/>
    <s v="ihesselpf@ox.ac.uk"/>
    <x v="0"/>
    <s v="Exc"/>
    <s v="D"/>
    <x v="2"/>
    <n v="27.945"/>
    <x v="171"/>
    <x v="1"/>
    <x v="2"/>
    <x v="0"/>
  </r>
  <r>
    <x v="879"/>
    <x v="89"/>
    <x v="842"/>
    <s v="E-D-0.2"/>
    <n v="1"/>
    <x v="842"/>
    <s v=""/>
    <x v="1"/>
    <s v="Exc"/>
    <s v="D"/>
    <x v="3"/>
    <n v="3.645"/>
    <x v="186"/>
    <x v="1"/>
    <x v="2"/>
    <x v="0"/>
  </r>
  <r>
    <x v="880"/>
    <x v="651"/>
    <x v="843"/>
    <s v="A-M-0.5"/>
    <n v="1"/>
    <x v="843"/>
    <s v="csorrellph@amazon.com"/>
    <x v="2"/>
    <s v="Ara"/>
    <s v="M"/>
    <x v="1"/>
    <n v="6.75"/>
    <x v="52"/>
    <x v="2"/>
    <x v="0"/>
    <x v="1"/>
  </r>
  <r>
    <x v="880"/>
    <x v="651"/>
    <x v="843"/>
    <s v="E-D-0.5"/>
    <n v="3"/>
    <x v="843"/>
    <s v="csorrellph@amazon.com"/>
    <x v="2"/>
    <s v="Exc"/>
    <s v="D"/>
    <x v="1"/>
    <n v="7.29"/>
    <x v="6"/>
    <x v="1"/>
    <x v="2"/>
    <x v="1"/>
  </r>
  <r>
    <x v="881"/>
    <x v="249"/>
    <x v="844"/>
    <s v="R-D-0.2"/>
    <n v="5"/>
    <x v="844"/>
    <s v="qheavysidepj@unc.edu"/>
    <x v="0"/>
    <s v="Rob"/>
    <s v="D"/>
    <x v="3"/>
    <n v="2.6849999999999996"/>
    <x v="148"/>
    <x v="0"/>
    <x v="2"/>
    <x v="0"/>
  </r>
  <r>
    <x v="882"/>
    <x v="652"/>
    <x v="845"/>
    <s v="R-D-2.5"/>
    <n v="6"/>
    <x v="845"/>
    <s v="hreuvenpk@whitehouse.gov"/>
    <x v="0"/>
    <s v="Rob"/>
    <s v="D"/>
    <x v="2"/>
    <n v="20.584999999999997"/>
    <x v="99"/>
    <x v="0"/>
    <x v="2"/>
    <x v="1"/>
  </r>
  <r>
    <x v="883"/>
    <x v="653"/>
    <x v="846"/>
    <s v="L-D-0.2"/>
    <n v="2"/>
    <x v="846"/>
    <s v="mattwoolpl@nba.com"/>
    <x v="0"/>
    <s v="Lib"/>
    <s v="D"/>
    <x v="3"/>
    <n v="3.8849999999999998"/>
    <x v="41"/>
    <x v="3"/>
    <x v="2"/>
    <x v="1"/>
  </r>
  <r>
    <x v="884"/>
    <x v="177"/>
    <x v="847"/>
    <s v="A-M-1"/>
    <n v="6"/>
    <x v="847"/>
    <s v=""/>
    <x v="0"/>
    <s v="Ara"/>
    <s v="M"/>
    <x v="0"/>
    <n v="11.25"/>
    <x v="173"/>
    <x v="2"/>
    <x v="0"/>
    <x v="0"/>
  </r>
  <r>
    <x v="885"/>
    <x v="22"/>
    <x v="848"/>
    <s v="E-D-2.5"/>
    <n v="1"/>
    <x v="848"/>
    <s v="gwynespn@dagondesign.com"/>
    <x v="0"/>
    <s v="Exc"/>
    <s v="D"/>
    <x v="2"/>
    <n v="27.945"/>
    <x v="140"/>
    <x v="1"/>
    <x v="2"/>
    <x v="1"/>
  </r>
  <r>
    <x v="886"/>
    <x v="508"/>
    <x v="849"/>
    <s v="A-L-2.5"/>
    <n v="3"/>
    <x v="849"/>
    <s v="cmaccourtpo@amazon.com"/>
    <x v="0"/>
    <s v="Ara"/>
    <s v="L"/>
    <x v="2"/>
    <n v="29.784999999999997"/>
    <x v="49"/>
    <x v="2"/>
    <x v="1"/>
    <x v="1"/>
  </r>
  <r>
    <x v="887"/>
    <x v="654"/>
    <x v="822"/>
    <s v="A-M-0.5"/>
    <n v="3"/>
    <x v="28"/>
    <s v=""/>
    <x v="0"/>
    <s v="Ara"/>
    <s v="M"/>
    <x v="1"/>
    <n v="6.75"/>
    <x v="16"/>
    <x v="2"/>
    <x v="0"/>
    <x v="1"/>
  </r>
  <r>
    <x v="888"/>
    <x v="524"/>
    <x v="850"/>
    <s v="A-M-0.5"/>
    <n v="5"/>
    <x v="850"/>
    <s v="ewilsonepq@eepurl.com"/>
    <x v="0"/>
    <s v="Ara"/>
    <s v="M"/>
    <x v="1"/>
    <n v="6.75"/>
    <x v="65"/>
    <x v="2"/>
    <x v="0"/>
    <x v="0"/>
  </r>
  <r>
    <x v="889"/>
    <x v="655"/>
    <x v="851"/>
    <s v="E-D-2.5"/>
    <n v="4"/>
    <x v="851"/>
    <s v="dduffiepr@time.com"/>
    <x v="0"/>
    <s v="Exc"/>
    <s v="D"/>
    <x v="2"/>
    <n v="27.945"/>
    <x v="150"/>
    <x v="1"/>
    <x v="2"/>
    <x v="1"/>
  </r>
  <r>
    <x v="890"/>
    <x v="523"/>
    <x v="852"/>
    <s v="E-M-2.5"/>
    <n v="2"/>
    <x v="852"/>
    <s v="mmatiasekps@ucoz.ru"/>
    <x v="0"/>
    <s v="Exc"/>
    <s v="M"/>
    <x v="2"/>
    <n v="31.624999999999996"/>
    <x v="40"/>
    <x v="1"/>
    <x v="0"/>
    <x v="0"/>
  </r>
  <r>
    <x v="891"/>
    <x v="656"/>
    <x v="853"/>
    <s v="E-L-0.2"/>
    <n v="2"/>
    <x v="853"/>
    <s v="jcamillopt@shinystat.com"/>
    <x v="0"/>
    <s v="Exc"/>
    <s v="L"/>
    <x v="3"/>
    <n v="4.4550000000000001"/>
    <x v="161"/>
    <x v="1"/>
    <x v="1"/>
    <x v="0"/>
  </r>
  <r>
    <x v="892"/>
    <x v="657"/>
    <x v="854"/>
    <s v="E-D-1"/>
    <n v="1"/>
    <x v="854"/>
    <s v="kphilbrickpu@cdc.gov"/>
    <x v="0"/>
    <s v="Exc"/>
    <s v="D"/>
    <x v="0"/>
    <n v="12.15"/>
    <x v="87"/>
    <x v="1"/>
    <x v="2"/>
    <x v="0"/>
  </r>
  <r>
    <x v="893"/>
    <x v="658"/>
    <x v="855"/>
    <s v="A-D-0.5"/>
    <n v="4"/>
    <x v="855"/>
    <s v=""/>
    <x v="0"/>
    <s v="Ara"/>
    <s v="D"/>
    <x v="1"/>
    <n v="5.97"/>
    <x v="86"/>
    <x v="2"/>
    <x v="2"/>
    <x v="0"/>
  </r>
  <r>
    <x v="894"/>
    <x v="659"/>
    <x v="856"/>
    <s v="E-M-1"/>
    <n v="4"/>
    <x v="856"/>
    <s v="bsillispw@istockphoto.com"/>
    <x v="0"/>
    <s v="Exc"/>
    <s v="M"/>
    <x v="0"/>
    <n v="13.75"/>
    <x v="193"/>
    <x v="1"/>
    <x v="0"/>
    <x v="1"/>
  </r>
  <r>
    <x v="895"/>
    <x v="558"/>
    <x v="857"/>
    <s v="R-D-1"/>
    <n v="3"/>
    <x v="857"/>
    <s v=""/>
    <x v="0"/>
    <s v="Rob"/>
    <s v="D"/>
    <x v="0"/>
    <n v="8.9499999999999993"/>
    <x v="166"/>
    <x v="0"/>
    <x v="2"/>
    <x v="0"/>
  </r>
  <r>
    <x v="896"/>
    <x v="660"/>
    <x v="858"/>
    <s v="R-M-2.5"/>
    <n v="5"/>
    <x v="858"/>
    <s v="rcuttspy@techcrunch.com"/>
    <x v="0"/>
    <s v="Rob"/>
    <s v="M"/>
    <x v="2"/>
    <n v="22.884999999999998"/>
    <x v="15"/>
    <x v="0"/>
    <x v="0"/>
    <x v="1"/>
  </r>
  <r>
    <x v="897"/>
    <x v="661"/>
    <x v="859"/>
    <s v="A-M-2.5"/>
    <n v="6"/>
    <x v="859"/>
    <s v="mdelvespz@nature.com"/>
    <x v="0"/>
    <s v="Ara"/>
    <s v="M"/>
    <x v="2"/>
    <n v="25.874999999999996"/>
    <x v="71"/>
    <x v="2"/>
    <x v="0"/>
    <x v="0"/>
  </r>
  <r>
    <x v="898"/>
    <x v="662"/>
    <x v="860"/>
    <s v="L-D-0.5"/>
    <n v="3"/>
    <x v="860"/>
    <s v="dgrittonq0@nydailynews.com"/>
    <x v="0"/>
    <s v="Lib"/>
    <s v="D"/>
    <x v="1"/>
    <n v="7.77"/>
    <x v="102"/>
    <x v="3"/>
    <x v="2"/>
    <x v="0"/>
  </r>
  <r>
    <x v="898"/>
    <x v="662"/>
    <x v="860"/>
    <s v="R-M-2.5"/>
    <n v="4"/>
    <x v="860"/>
    <s v="dgrittonq0@nydailynews.com"/>
    <x v="0"/>
    <s v="Rob"/>
    <s v="M"/>
    <x v="2"/>
    <n v="22.884999999999998"/>
    <x v="21"/>
    <x v="0"/>
    <x v="0"/>
    <x v="0"/>
  </r>
  <r>
    <x v="899"/>
    <x v="184"/>
    <x v="861"/>
    <s v="E-L-1"/>
    <n v="5"/>
    <x v="861"/>
    <s v="dgutq2@umich.edu"/>
    <x v="0"/>
    <s v="Exc"/>
    <s v="L"/>
    <x v="0"/>
    <n v="14.85"/>
    <x v="159"/>
    <x v="1"/>
    <x v="1"/>
    <x v="0"/>
  </r>
  <r>
    <x v="900"/>
    <x v="663"/>
    <x v="862"/>
    <s v="L-L-0.2"/>
    <n v="6"/>
    <x v="862"/>
    <s v="wpummeryq3@topsy.com"/>
    <x v="0"/>
    <s v="Lib"/>
    <s v="L"/>
    <x v="3"/>
    <n v="4.7549999999999999"/>
    <x v="32"/>
    <x v="3"/>
    <x v="1"/>
    <x v="1"/>
  </r>
  <r>
    <x v="901"/>
    <x v="334"/>
    <x v="863"/>
    <s v="R-L-0.5"/>
    <n v="2"/>
    <x v="863"/>
    <s v="gsiudaq4@nytimes.com"/>
    <x v="0"/>
    <s v="Rob"/>
    <s v="L"/>
    <x v="1"/>
    <n v="7.169999999999999"/>
    <x v="79"/>
    <x v="0"/>
    <x v="1"/>
    <x v="0"/>
  </r>
  <r>
    <x v="902"/>
    <x v="664"/>
    <x v="864"/>
    <s v="A-L-0.5"/>
    <n v="2"/>
    <x v="864"/>
    <s v="hcrowneq5@wufoo.com"/>
    <x v="1"/>
    <s v="Ara"/>
    <s v="L"/>
    <x v="1"/>
    <n v="7.77"/>
    <x v="42"/>
    <x v="2"/>
    <x v="1"/>
    <x v="0"/>
  </r>
  <r>
    <x v="903"/>
    <x v="24"/>
    <x v="865"/>
    <s v="R-L-1"/>
    <n v="3"/>
    <x v="865"/>
    <s v="vpawseyq6@tiny.cc"/>
    <x v="0"/>
    <s v="Rob"/>
    <s v="L"/>
    <x v="0"/>
    <n v="11.95"/>
    <x v="66"/>
    <x v="0"/>
    <x v="1"/>
    <x v="1"/>
  </r>
  <r>
    <x v="904"/>
    <x v="12"/>
    <x v="866"/>
    <s v="A-L-0.5"/>
    <n v="6"/>
    <x v="866"/>
    <s v="awaterhouseq7@istockphoto.com"/>
    <x v="0"/>
    <s v="Ara"/>
    <s v="L"/>
    <x v="1"/>
    <n v="7.77"/>
    <x v="162"/>
    <x v="2"/>
    <x v="1"/>
    <x v="1"/>
  </r>
  <r>
    <x v="905"/>
    <x v="105"/>
    <x v="867"/>
    <s v="R-L-0.5"/>
    <n v="5"/>
    <x v="867"/>
    <s v="fhaughianq8@1688.com"/>
    <x v="0"/>
    <s v="Rob"/>
    <s v="L"/>
    <x v="1"/>
    <n v="7.169999999999999"/>
    <x v="66"/>
    <x v="0"/>
    <x v="1"/>
    <x v="1"/>
  </r>
  <r>
    <x v="906"/>
    <x v="665"/>
    <x v="868"/>
    <s v="L-D-2.5"/>
    <n v="4"/>
    <x v="868"/>
    <s v=""/>
    <x v="0"/>
    <s v="Lib"/>
    <s v="D"/>
    <x v="2"/>
    <n v="29.784999999999997"/>
    <x v="129"/>
    <x v="3"/>
    <x v="2"/>
    <x v="1"/>
  </r>
  <r>
    <x v="907"/>
    <x v="44"/>
    <x v="869"/>
    <s v="L-D-0.5"/>
    <n v="3"/>
    <x v="869"/>
    <s v=""/>
    <x v="0"/>
    <s v="Lib"/>
    <s v="D"/>
    <x v="1"/>
    <n v="7.77"/>
    <x v="102"/>
    <x v="3"/>
    <x v="2"/>
    <x v="1"/>
  </r>
  <r>
    <x v="908"/>
    <x v="171"/>
    <x v="870"/>
    <s v="A-M-1"/>
    <n v="1"/>
    <x v="870"/>
    <s v="rfaltinqb@topsy.com"/>
    <x v="1"/>
    <s v="Ara"/>
    <s v="M"/>
    <x v="0"/>
    <n v="11.25"/>
    <x v="23"/>
    <x v="2"/>
    <x v="0"/>
    <x v="1"/>
  </r>
  <r>
    <x v="909"/>
    <x v="328"/>
    <x v="871"/>
    <s v="E-D-2.5"/>
    <n v="3"/>
    <x v="871"/>
    <s v="gcheekeqc@sitemeter.com"/>
    <x v="2"/>
    <s v="Exc"/>
    <s v="D"/>
    <x v="2"/>
    <n v="27.945"/>
    <x v="171"/>
    <x v="1"/>
    <x v="2"/>
    <x v="0"/>
  </r>
  <r>
    <x v="910"/>
    <x v="648"/>
    <x v="872"/>
    <s v="R-L-2.5"/>
    <n v="4"/>
    <x v="872"/>
    <s v="grattqd@phpbb.com"/>
    <x v="1"/>
    <s v="Rob"/>
    <s v="L"/>
    <x v="2"/>
    <n v="27.484999999999996"/>
    <x v="108"/>
    <x v="0"/>
    <x v="1"/>
    <x v="1"/>
  </r>
  <r>
    <x v="911"/>
    <x v="666"/>
    <x v="873"/>
    <s v="R-L-0.2"/>
    <n v="4"/>
    <x v="873"/>
    <s v=""/>
    <x v="0"/>
    <s v="Rob"/>
    <s v="L"/>
    <x v="3"/>
    <n v="3.5849999999999995"/>
    <x v="79"/>
    <x v="0"/>
    <x v="1"/>
    <x v="0"/>
  </r>
  <r>
    <x v="912"/>
    <x v="577"/>
    <x v="874"/>
    <s v="R-L-0.2"/>
    <n v="6"/>
    <x v="874"/>
    <s v="ieberleinqf@hc360.com"/>
    <x v="0"/>
    <s v="Rob"/>
    <s v="L"/>
    <x v="3"/>
    <n v="3.5849999999999995"/>
    <x v="137"/>
    <x v="0"/>
    <x v="1"/>
    <x v="1"/>
  </r>
  <r>
    <x v="913"/>
    <x v="114"/>
    <x v="875"/>
    <s v="A-M-1"/>
    <n v="2"/>
    <x v="875"/>
    <s v="jdrengqg@uiuc.edu"/>
    <x v="1"/>
    <s v="Ara"/>
    <s v="M"/>
    <x v="0"/>
    <n v="11.25"/>
    <x v="122"/>
    <x v="2"/>
    <x v="0"/>
    <x v="0"/>
  </r>
  <r>
    <x v="914"/>
    <x v="4"/>
    <x v="857"/>
    <s v="A-L-0.2"/>
    <n v="1"/>
    <x v="28"/>
    <s v=""/>
    <x v="0"/>
    <s v="Ara"/>
    <s v="L"/>
    <x v="3"/>
    <n v="3.8849999999999998"/>
    <x v="84"/>
    <x v="2"/>
    <x v="1"/>
    <x v="0"/>
  </r>
  <r>
    <x v="915"/>
    <x v="667"/>
    <x v="857"/>
    <s v="E-D-2.5"/>
    <n v="1"/>
    <x v="28"/>
    <s v=""/>
    <x v="0"/>
    <s v="Exc"/>
    <s v="D"/>
    <x v="2"/>
    <n v="27.945"/>
    <x v="140"/>
    <x v="1"/>
    <x v="2"/>
    <x v="0"/>
  </r>
  <r>
    <x v="916"/>
    <x v="110"/>
    <x v="857"/>
    <s v="E-L-2.5"/>
    <n v="5"/>
    <x v="28"/>
    <s v=""/>
    <x v="0"/>
    <s v="Exc"/>
    <s v="L"/>
    <x v="2"/>
    <n v="34.154999999999994"/>
    <x v="11"/>
    <x v="1"/>
    <x v="1"/>
    <x v="0"/>
  </r>
  <r>
    <x v="916"/>
    <x v="110"/>
    <x v="857"/>
    <s v="R-L-2.5"/>
    <n v="2"/>
    <x v="28"/>
    <s v=""/>
    <x v="0"/>
    <s v="Rob"/>
    <s v="L"/>
    <x v="2"/>
    <n v="27.484999999999996"/>
    <x v="4"/>
    <x v="0"/>
    <x v="1"/>
    <x v="0"/>
  </r>
  <r>
    <x v="916"/>
    <x v="110"/>
    <x v="857"/>
    <s v="E-L-1"/>
    <n v="1"/>
    <x v="28"/>
    <s v=""/>
    <x v="0"/>
    <s v="Exc"/>
    <s v="L"/>
    <x v="0"/>
    <n v="14.85"/>
    <x v="151"/>
    <x v="1"/>
    <x v="1"/>
    <x v="0"/>
  </r>
  <r>
    <x v="916"/>
    <x v="110"/>
    <x v="857"/>
    <s v="A-L-0.2"/>
    <n v="2"/>
    <x v="28"/>
    <s v=""/>
    <x v="0"/>
    <s v="Ara"/>
    <s v="L"/>
    <x v="3"/>
    <n v="3.8849999999999998"/>
    <x v="41"/>
    <x v="2"/>
    <x v="1"/>
    <x v="0"/>
  </r>
  <r>
    <x v="917"/>
    <x v="668"/>
    <x v="876"/>
    <s v="L-L-0.2"/>
    <n v="5"/>
    <x v="876"/>
    <s v="rstrathernqn@devhub.com"/>
    <x v="0"/>
    <s v="Lib"/>
    <s v="L"/>
    <x v="3"/>
    <n v="4.7549999999999999"/>
    <x v="29"/>
    <x v="3"/>
    <x v="1"/>
    <x v="0"/>
  </r>
  <r>
    <x v="918"/>
    <x v="422"/>
    <x v="877"/>
    <s v="L-L-1"/>
    <n v="5"/>
    <x v="877"/>
    <s v="cmiguelqo@exblog.jp"/>
    <x v="0"/>
    <s v="Lib"/>
    <s v="L"/>
    <x v="0"/>
    <n v="15.85"/>
    <x v="180"/>
    <x v="3"/>
    <x v="1"/>
    <x v="0"/>
  </r>
  <r>
    <x v="919"/>
    <x v="669"/>
    <x v="878"/>
    <s v="A-D-2.5"/>
    <n v="2"/>
    <x v="878"/>
    <s v=""/>
    <x v="0"/>
    <s v="Ara"/>
    <s v="D"/>
    <x v="2"/>
    <n v="22.884999999999998"/>
    <x v="135"/>
    <x v="2"/>
    <x v="2"/>
    <x v="0"/>
  </r>
  <r>
    <x v="920"/>
    <x v="670"/>
    <x v="879"/>
    <s v="R-D-1"/>
    <n v="1"/>
    <x v="879"/>
    <s v="mrocksqq@exblog.jp"/>
    <x v="1"/>
    <s v="Rob"/>
    <s v="D"/>
    <x v="0"/>
    <n v="8.9499999999999993"/>
    <x v="192"/>
    <x v="0"/>
    <x v="2"/>
    <x v="0"/>
  </r>
  <r>
    <x v="921"/>
    <x v="341"/>
    <x v="880"/>
    <s v="R-M-0.5"/>
    <n v="4"/>
    <x v="880"/>
    <s v="yburrellsqr@vinaora.com"/>
    <x v="0"/>
    <s v="Rob"/>
    <s v="M"/>
    <x v="1"/>
    <n v="5.97"/>
    <x v="86"/>
    <x v="0"/>
    <x v="0"/>
    <x v="0"/>
  </r>
  <r>
    <x v="922"/>
    <x v="671"/>
    <x v="881"/>
    <s v="E-L-0.2"/>
    <n v="5"/>
    <x v="881"/>
    <s v="cgoodrumqs@goodreads.com"/>
    <x v="0"/>
    <s v="Exc"/>
    <s v="L"/>
    <x v="3"/>
    <n v="4.4550000000000001"/>
    <x v="110"/>
    <x v="1"/>
    <x v="1"/>
    <x v="1"/>
  </r>
  <r>
    <x v="923"/>
    <x v="672"/>
    <x v="882"/>
    <s v="R-M-1"/>
    <n v="3"/>
    <x v="882"/>
    <s v="jjefferysqt@blog.com"/>
    <x v="0"/>
    <s v="Rob"/>
    <s v="M"/>
    <x v="0"/>
    <n v="9.9499999999999993"/>
    <x v="44"/>
    <x v="0"/>
    <x v="0"/>
    <x v="0"/>
  </r>
  <r>
    <x v="924"/>
    <x v="673"/>
    <x v="883"/>
    <s v="E-L-0.5"/>
    <n v="6"/>
    <x v="883"/>
    <s v="bwardellqu@adobe.com"/>
    <x v="0"/>
    <s v="Exc"/>
    <s v="L"/>
    <x v="1"/>
    <n v="8.91"/>
    <x v="119"/>
    <x v="1"/>
    <x v="1"/>
    <x v="0"/>
  </r>
  <r>
    <x v="925"/>
    <x v="674"/>
    <x v="884"/>
    <s v="R-D-0.2"/>
    <n v="1"/>
    <x v="884"/>
    <s v="zwalisiakqv@ucsd.edu"/>
    <x v="1"/>
    <s v="Rob"/>
    <s v="D"/>
    <x v="3"/>
    <n v="2.6849999999999996"/>
    <x v="97"/>
    <x v="0"/>
    <x v="2"/>
    <x v="0"/>
  </r>
  <r>
    <x v="926"/>
    <x v="675"/>
    <x v="885"/>
    <s v="R-M-0.2"/>
    <n v="2"/>
    <x v="885"/>
    <s v="wleopoldqw@blogspot.com"/>
    <x v="0"/>
    <s v="Rob"/>
    <s v="M"/>
    <x v="3"/>
    <n v="2.9849999999999999"/>
    <x v="9"/>
    <x v="0"/>
    <x v="0"/>
    <x v="1"/>
  </r>
  <r>
    <x v="927"/>
    <x v="539"/>
    <x v="886"/>
    <s v="L-D-1"/>
    <n v="1"/>
    <x v="886"/>
    <s v="cshaldersqx@cisco.com"/>
    <x v="0"/>
    <s v="Lib"/>
    <s v="D"/>
    <x v="0"/>
    <n v="12.95"/>
    <x v="2"/>
    <x v="3"/>
    <x v="2"/>
    <x v="0"/>
  </r>
  <r>
    <x v="928"/>
    <x v="676"/>
    <x v="887"/>
    <s v="E-M-0.5"/>
    <n v="1"/>
    <x v="887"/>
    <s v=""/>
    <x v="0"/>
    <s v="Exc"/>
    <s v="M"/>
    <x v="1"/>
    <n v="8.25"/>
    <x v="112"/>
    <x v="1"/>
    <x v="0"/>
    <x v="1"/>
  </r>
  <r>
    <x v="929"/>
    <x v="677"/>
    <x v="888"/>
    <s v="A-L-2.5"/>
    <n v="5"/>
    <x v="888"/>
    <s v="nfurberqz@jugem.jp"/>
    <x v="0"/>
    <s v="Ara"/>
    <s v="L"/>
    <x v="2"/>
    <n v="29.784999999999997"/>
    <x v="74"/>
    <x v="2"/>
    <x v="1"/>
    <x v="1"/>
  </r>
  <r>
    <x v="930"/>
    <x v="629"/>
    <x v="889"/>
    <s v="A-L-2.5"/>
    <n v="3"/>
    <x v="889"/>
    <s v=""/>
    <x v="1"/>
    <s v="Ara"/>
    <s v="L"/>
    <x v="2"/>
    <n v="29.784999999999997"/>
    <x v="49"/>
    <x v="2"/>
    <x v="1"/>
    <x v="0"/>
  </r>
  <r>
    <x v="931"/>
    <x v="662"/>
    <x v="890"/>
    <s v="L-M-1"/>
    <n v="6"/>
    <x v="890"/>
    <s v="ckeaver1@ucoz.com"/>
    <x v="0"/>
    <s v="Lib"/>
    <s v="M"/>
    <x v="0"/>
    <n v="14.55"/>
    <x v="75"/>
    <x v="3"/>
    <x v="0"/>
    <x v="1"/>
  </r>
  <r>
    <x v="932"/>
    <x v="102"/>
    <x v="891"/>
    <s v="R-D-0.5"/>
    <n v="1"/>
    <x v="891"/>
    <s v="sroseboroughr2@virginia.edu"/>
    <x v="0"/>
    <s v="Rob"/>
    <s v="D"/>
    <x v="1"/>
    <n v="5.3699999999999992"/>
    <x v="147"/>
    <x v="0"/>
    <x v="2"/>
    <x v="0"/>
  </r>
  <r>
    <x v="933"/>
    <x v="678"/>
    <x v="892"/>
    <s v="A-D-0.2"/>
    <n v="3"/>
    <x v="892"/>
    <s v="ckingwellr3@squarespace.com"/>
    <x v="1"/>
    <s v="Ara"/>
    <s v="D"/>
    <x v="3"/>
    <n v="2.9849999999999999"/>
    <x v="169"/>
    <x v="2"/>
    <x v="2"/>
    <x v="0"/>
  </r>
  <r>
    <x v="934"/>
    <x v="679"/>
    <x v="893"/>
    <s v="R-L-2.5"/>
    <n v="5"/>
    <x v="893"/>
    <s v="kcantor4@gmpg.org"/>
    <x v="0"/>
    <s v="Rob"/>
    <s v="L"/>
    <x v="2"/>
    <n v="27.484999999999996"/>
    <x v="187"/>
    <x v="0"/>
    <x v="1"/>
    <x v="0"/>
  </r>
  <r>
    <x v="935"/>
    <x v="112"/>
    <x v="894"/>
    <s v="R-L-1"/>
    <n v="5"/>
    <x v="894"/>
    <s v="mblakemorer5@nsw.gov.au"/>
    <x v="0"/>
    <s v="Rob"/>
    <s v="L"/>
    <x v="0"/>
    <n v="11.95"/>
    <x v="143"/>
    <x v="0"/>
    <x v="1"/>
    <x v="1"/>
  </r>
  <r>
    <x v="936"/>
    <x v="55"/>
    <x v="890"/>
    <s v="A-L-0.5"/>
    <n v="3"/>
    <x v="28"/>
    <s v="ckeaver1@ucoz.com"/>
    <x v="0"/>
    <s v="Ara"/>
    <s v="L"/>
    <x v="1"/>
    <n v="7.77"/>
    <x v="102"/>
    <x v="2"/>
    <x v="1"/>
    <x v="1"/>
  </r>
  <r>
    <x v="937"/>
    <x v="680"/>
    <x v="895"/>
    <s v="R-D-0.5"/>
    <n v="2"/>
    <x v="895"/>
    <s v=""/>
    <x v="0"/>
    <s v="Rob"/>
    <s v="D"/>
    <x v="1"/>
    <n v="5.3699999999999992"/>
    <x v="175"/>
    <x v="0"/>
    <x v="2"/>
    <x v="1"/>
  </r>
  <r>
    <x v="938"/>
    <x v="94"/>
    <x v="896"/>
    <s v="E-D-2.5"/>
    <n v="6"/>
    <x v="896"/>
    <s v=""/>
    <x v="0"/>
    <s v="Exc"/>
    <s v="D"/>
    <x v="2"/>
    <n v="27.945"/>
    <x v="164"/>
    <x v="1"/>
    <x v="2"/>
    <x v="0"/>
  </r>
  <r>
    <x v="939"/>
    <x v="160"/>
    <x v="897"/>
    <s v="E-D-0.2"/>
    <n v="6"/>
    <x v="897"/>
    <s v="cbernardotr9@wix.com"/>
    <x v="0"/>
    <s v="Exc"/>
    <s v="D"/>
    <x v="3"/>
    <n v="3.645"/>
    <x v="6"/>
    <x v="1"/>
    <x v="2"/>
    <x v="0"/>
  </r>
  <r>
    <x v="940"/>
    <x v="681"/>
    <x v="898"/>
    <s v="R-L-1"/>
    <n v="2"/>
    <x v="898"/>
    <s v="kkemeryra@t.co"/>
    <x v="0"/>
    <s v="Rob"/>
    <s v="L"/>
    <x v="0"/>
    <n v="11.95"/>
    <x v="178"/>
    <x v="0"/>
    <x v="1"/>
    <x v="0"/>
  </r>
  <r>
    <x v="941"/>
    <x v="502"/>
    <x v="899"/>
    <s v="A-M-0.2"/>
    <n v="2"/>
    <x v="899"/>
    <s v="fparlotrb@forbes.com"/>
    <x v="0"/>
    <s v="Ara"/>
    <s v="M"/>
    <x v="3"/>
    <n v="3.375"/>
    <x v="52"/>
    <x v="2"/>
    <x v="0"/>
    <x v="0"/>
  </r>
  <r>
    <x v="942"/>
    <x v="682"/>
    <x v="900"/>
    <s v="E-M-2.5"/>
    <n v="1"/>
    <x v="900"/>
    <s v="rcheakrc@tripadvisor.com"/>
    <x v="1"/>
    <s v="Exc"/>
    <s v="M"/>
    <x v="2"/>
    <n v="31.624999999999996"/>
    <x v="176"/>
    <x v="1"/>
    <x v="0"/>
    <x v="0"/>
  </r>
  <r>
    <x v="943"/>
    <x v="683"/>
    <x v="901"/>
    <s v="R-L-1"/>
    <n v="4"/>
    <x v="901"/>
    <s v="kogeneayrd@utexas.edu"/>
    <x v="0"/>
    <s v="Rob"/>
    <s v="L"/>
    <x v="0"/>
    <n v="11.95"/>
    <x v="62"/>
    <x v="0"/>
    <x v="1"/>
    <x v="1"/>
  </r>
  <r>
    <x v="944"/>
    <x v="594"/>
    <x v="902"/>
    <s v="L-M-2.5"/>
    <n v="1"/>
    <x v="902"/>
    <s v="cayrere@symantec.com"/>
    <x v="0"/>
    <s v="Lib"/>
    <s v="M"/>
    <x v="2"/>
    <n v="33.464999999999996"/>
    <x v="116"/>
    <x v="3"/>
    <x v="0"/>
    <x v="1"/>
  </r>
  <r>
    <x v="945"/>
    <x v="389"/>
    <x v="903"/>
    <s v="A-D-0.5"/>
    <n v="5"/>
    <x v="903"/>
    <s v="lkynetonrf@macromedia.com"/>
    <x v="2"/>
    <s v="Ara"/>
    <s v="D"/>
    <x v="1"/>
    <n v="5.97"/>
    <x v="44"/>
    <x v="2"/>
    <x v="2"/>
    <x v="0"/>
  </r>
  <r>
    <x v="946"/>
    <x v="583"/>
    <x v="904"/>
    <s v="R-M-1"/>
    <n v="3"/>
    <x v="904"/>
    <s v=""/>
    <x v="2"/>
    <s v="Rob"/>
    <s v="M"/>
    <x v="0"/>
    <n v="9.9499999999999993"/>
    <x v="44"/>
    <x v="0"/>
    <x v="0"/>
    <x v="0"/>
  </r>
  <r>
    <x v="947"/>
    <x v="647"/>
    <x v="905"/>
    <s v="A-M-2.5"/>
    <n v="6"/>
    <x v="905"/>
    <s v=""/>
    <x v="0"/>
    <s v="Ara"/>
    <s v="M"/>
    <x v="2"/>
    <n v="25.874999999999996"/>
    <x v="71"/>
    <x v="2"/>
    <x v="0"/>
    <x v="0"/>
  </r>
  <r>
    <x v="948"/>
    <x v="366"/>
    <x v="906"/>
    <s v="E-D-0.2"/>
    <n v="5"/>
    <x v="906"/>
    <s v=""/>
    <x v="0"/>
    <s v="Exc"/>
    <s v="D"/>
    <x v="3"/>
    <n v="3.645"/>
    <x v="94"/>
    <x v="1"/>
    <x v="2"/>
    <x v="1"/>
  </r>
  <r>
    <x v="948"/>
    <x v="366"/>
    <x v="906"/>
    <s v="L-D-0.5"/>
    <n v="2"/>
    <x v="906"/>
    <s v=""/>
    <x v="0"/>
    <s v="Lib"/>
    <s v="D"/>
    <x v="1"/>
    <n v="7.77"/>
    <x v="42"/>
    <x v="3"/>
    <x v="2"/>
    <x v="1"/>
  </r>
  <r>
    <x v="949"/>
    <x v="684"/>
    <x v="907"/>
    <s v="L-L-2.5"/>
    <n v="3"/>
    <x v="907"/>
    <s v=""/>
    <x v="1"/>
    <s v="Lib"/>
    <s v="L"/>
    <x v="2"/>
    <n v="36.454999999999998"/>
    <x v="63"/>
    <x v="3"/>
    <x v="1"/>
    <x v="1"/>
  </r>
  <r>
    <x v="950"/>
    <x v="506"/>
    <x v="908"/>
    <s v="A-L-1"/>
    <n v="6"/>
    <x v="908"/>
    <s v=""/>
    <x v="0"/>
    <s v="Ara"/>
    <s v="L"/>
    <x v="0"/>
    <n v="12.95"/>
    <x v="17"/>
    <x v="2"/>
    <x v="1"/>
    <x v="1"/>
  </r>
  <r>
    <x v="951"/>
    <x v="685"/>
    <x v="909"/>
    <s v="A-D-0.2"/>
    <n v="3"/>
    <x v="909"/>
    <s v=""/>
    <x v="1"/>
    <s v="Ara"/>
    <s v="D"/>
    <x v="3"/>
    <n v="2.9849999999999999"/>
    <x v="169"/>
    <x v="2"/>
    <x v="2"/>
    <x v="1"/>
  </r>
  <r>
    <x v="952"/>
    <x v="191"/>
    <x v="910"/>
    <s v="R-L-2.5"/>
    <n v="1"/>
    <x v="910"/>
    <s v="jtewelsonrn@samsung.com"/>
    <x v="0"/>
    <s v="Rob"/>
    <s v="L"/>
    <x v="2"/>
    <n v="27.484999999999996"/>
    <x v="142"/>
    <x v="0"/>
    <x v="1"/>
    <x v="1"/>
  </r>
  <r>
    <x v="953"/>
    <x v="686"/>
    <x v="906"/>
    <s v="R-M-0.5"/>
    <n v="5"/>
    <x v="906"/>
    <s v=""/>
    <x v="0"/>
    <s v="Rob"/>
    <s v="M"/>
    <x v="1"/>
    <n v="5.97"/>
    <x v="44"/>
    <x v="0"/>
    <x v="0"/>
    <x v="1"/>
  </r>
  <r>
    <x v="954"/>
    <x v="687"/>
    <x v="906"/>
    <s v="A-M-0.5"/>
    <n v="4"/>
    <x v="906"/>
    <s v=""/>
    <x v="0"/>
    <s v="Ara"/>
    <s v="M"/>
    <x v="1"/>
    <n v="6.75"/>
    <x v="25"/>
    <x v="2"/>
    <x v="0"/>
    <x v="1"/>
  </r>
  <r>
    <x v="955"/>
    <x v="629"/>
    <x v="911"/>
    <s v="A-D-1"/>
    <n v="1"/>
    <x v="911"/>
    <s v="njennyrq@bigcartel.com"/>
    <x v="0"/>
    <s v="Ara"/>
    <s v="D"/>
    <x v="0"/>
    <n v="9.9499999999999993"/>
    <x v="138"/>
    <x v="2"/>
    <x v="2"/>
    <x v="1"/>
  </r>
  <r>
    <x v="956"/>
    <x v="688"/>
    <x v="912"/>
    <s v="E-M-0.2"/>
    <n v="3"/>
    <x v="912"/>
    <s v=""/>
    <x v="2"/>
    <s v="Exc"/>
    <s v="M"/>
    <x v="3"/>
    <n v="4.125"/>
    <x v="24"/>
    <x v="1"/>
    <x v="0"/>
    <x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1" xr10:uid="{5773CD37-8E04-7D4D-977D-A43AE256F105}" sourceName="Size">
  <data>
    <tabular pivotCacheId="2078207331">
      <items count="4">
        <i x="1" s="1"/>
        <i x="0"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1" xr10:uid="{2B621220-FD7F-BF4E-B798-430B27BF7210}" sourceName="Roast Type Name">
  <data>
    <tabular pivotCacheId="2078207331">
      <items count="3">
        <i x="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1" xr10:uid="{8C031D0D-6B3F-CC4E-8234-B5208D535C5F}" sourceName="Loyalty Card">
  <data>
    <tabular pivotCacheId="2078207331">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2" xr10:uid="{11851060-9902-FD43-8E21-FB35F8BCA9F2}" cache="Slicer_Size1" caption="Size" columnCount="4" style="SlicerStyleLight2" rowHeight="457200"/>
  <slicer name="Roast Type Name 4" xr10:uid="{84787B8D-CD39-3549-BEDE-AB01C49CFD12}" cache="Slicer_Roast_Type_Name1" caption="Roast Type Name" columnCount="3" style="SlicerStyleLight2" rowHeight="457200"/>
  <slicer name="Loyalty Card 2" xr10:uid="{6C84FE30-EA17-C049-AA2E-2035E16C1E18}" cache="Slicer_Loyalty_Card1" caption="Loyalty Card" columnCount="2" style="SlicerStyleLight2"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D7DCF4-93E3-8F4D-B22E-A4D95A5A3B75}" name="Table1" displayName="Table1" ref="A1:P1001" totalsRowShown="0">
  <autoFilter ref="A1:P1001" xr:uid="{5DD7DCF4-93E3-8F4D-B22E-A4D95A5A3B75}"/>
  <tableColumns count="16">
    <tableColumn id="1" xr3:uid="{096D559F-F616-4B4C-AC08-694F0E253017}" name="Order ID" dataDxfId="15"/>
    <tableColumn id="2" xr3:uid="{B6B220C2-FE99-E642-A198-AB2B5598DDD0}" name="Order Date" dataDxfId="14"/>
    <tableColumn id="3" xr3:uid="{BAE828EC-96E9-7443-9487-AFC1B2702144}" name="Customer ID" dataDxfId="13"/>
    <tableColumn id="4" xr3:uid="{60316B8C-B42C-354F-A439-A52F0D0EFE3A}" name="Product ID"/>
    <tableColumn id="5" xr3:uid="{3BCE4145-64FF-1445-8D4B-08494BA7F1AA}" name="Quantity" dataDxfId="12"/>
    <tableColumn id="6" xr3:uid="{47B6DB99-11AD-3248-9CDC-8C2BCD28117E}" name="Customer Name" dataDxfId="11">
      <calculatedColumnFormula>_xlfn.XLOOKUP(C2,customers!$A1:$A1001,customers!$B1:$B1001,,0)</calculatedColumnFormula>
    </tableColumn>
    <tableColumn id="7" xr3:uid="{5293593D-C736-1D49-B7AB-4FC952AD1E61}" name="Email" dataDxfId="10">
      <calculatedColumnFormula>IF(_xlfn.XLOOKUP(C2,customers!$A$1:$A$1001,customers!$C$1:$C$1001,,0)=0,"",_xlfn.XLOOKUP(C2,customers!$A$1:$A$1001,customers!$C$1:$C$1001,,0))</calculatedColumnFormula>
    </tableColumn>
    <tableColumn id="8" xr3:uid="{AEBCE08F-E437-DC4A-B78D-70415DE4B6AD}" name="Country" dataDxfId="9">
      <calculatedColumnFormula>_xlfn.XLOOKUP(C2,customers!$A$1:$A$1001,customers!$G$1:$G$1001,,0)</calculatedColumnFormula>
    </tableColumn>
    <tableColumn id="9" xr3:uid="{110A0AEC-60C3-5F41-BBD6-8784BF74A855}" name="Coffee Type">
      <calculatedColumnFormula>INDEX(products!$A$1:$G$49,MATCH(orders!$D2,products!$A$1:$A$49,0),MATCH(orders!I$1,products!$A$1:$G$1,0))</calculatedColumnFormula>
    </tableColumn>
    <tableColumn id="10" xr3:uid="{1D53E8E7-652F-754E-BEE2-D8369FF330FF}" name="Roast Type">
      <calculatedColumnFormula>INDEX(products!$A$1:$G$49,MATCH(orders!$D2,products!$A$1:$A$49,0),MATCH(orders!J$1,products!$A$1:$G$1,0))</calculatedColumnFormula>
    </tableColumn>
    <tableColumn id="11" xr3:uid="{7C129913-2350-6044-AB27-C7E89077825B}" name="Size" dataDxfId="8">
      <calculatedColumnFormula>INDEX(products!$A$1:$G$49,MATCH(orders!$D2,products!$A$1:$A$49,0),MATCH(orders!K$1,products!$A$1:$G$1,0))</calculatedColumnFormula>
    </tableColumn>
    <tableColumn id="12" xr3:uid="{6ACEE3D0-148F-5E40-A054-9B31A79F649B}" name="Unit Price" dataDxfId="7">
      <calculatedColumnFormula>INDEX(products!$A$1:$G$49,MATCH(orders!$D2,products!$A$1:$A$49,0),MATCH(orders!L$1,products!$A$1:$G$1,0))</calculatedColumnFormula>
    </tableColumn>
    <tableColumn id="13" xr3:uid="{FE12E3DA-6B0A-1243-AF07-B077E32DB665}" name="Sales" dataDxfId="6">
      <calculatedColumnFormula>L2*E2</calculatedColumnFormula>
    </tableColumn>
    <tableColumn id="14" xr3:uid="{35F9BB20-A451-5246-A9EF-E0B577D14879}" name="Cofee Type Name">
      <calculatedColumnFormula>IF(I2="Rob","Robusta",IF(I2="Ara","Arabica",IF(I2="Exc","Excelsa",IF(I2="Lib","Liberica",""))))</calculatedColumnFormula>
    </tableColumn>
    <tableColumn id="15" xr3:uid="{4B0C7E6D-B7D2-884B-8A5D-B0A08DD78AD0}" name="Roast Type Name">
      <calculatedColumnFormula>IF(J2="M","Medium",IF(J2="L","Light",IF(J2="D","Dark","")))</calculatedColumnFormula>
    </tableColumn>
    <tableColumn id="16" xr3:uid="{BCA43A25-2F84-894D-B723-3032405A3315}" name="Loyalty Card" dataDxfId="5">
      <calculatedColumnFormula>_xlfn.XLOOKUP(Table1[[#This Row],[Customer ID]],customers!$A$1:$A$1001,customers!$I$1:$I$1001,,0)</calculatedColumnFormula>
    </tableColumn>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5D44B2-89C7-5A40-97AA-5F913B33C9C1}" name="Table2" displayName="Table2" ref="A1:E2" insertRow="1" totalsRowShown="0">
  <autoFilter ref="A1:E2" xr:uid="{D55D44B2-89C7-5A40-97AA-5F913B33C9C1}"/>
  <tableColumns count="5">
    <tableColumn id="1" xr3:uid="{C7680851-D103-1644-8453-C3317B0874AD}" name="ID" dataDxfId="4">
      <extLst>
        <ext xmlns:xlmsforms="http://schemas.microsoft.com/office/spreadsheetml/2023/msForms" uri="{FCC71383-01E1-4257-9335-427F07BE8D7F}">
          <xlmsforms:question id="id"/>
        </ext>
      </extLst>
    </tableColumn>
    <tableColumn id="2" xr3:uid="{90DC0916-A51A-CB41-BAF4-4895E8CDEA3C}" name="Start time" dataDxfId="3">
      <extLst>
        <ext xmlns:xlmsforms="http://schemas.microsoft.com/office/spreadsheetml/2023/msForms" uri="{FCC71383-01E1-4257-9335-427F07BE8D7F}">
          <xlmsforms:question id="startDate"/>
        </ext>
      </extLst>
    </tableColumn>
    <tableColumn id="3" xr3:uid="{21841CEA-A086-EE4F-A23C-4B4F0083EC5E}" name="Completion time" dataDxfId="2">
      <extLst>
        <ext xmlns:xlmsforms="http://schemas.microsoft.com/office/spreadsheetml/2023/msForms" uri="{FCC71383-01E1-4257-9335-427F07BE8D7F}">
          <xlmsforms:question id="submitDate"/>
        </ext>
      </extLst>
    </tableColumn>
    <tableColumn id="4" xr3:uid="{9CF1C099-28CA-AC49-B747-C72C13DF78D5}" name="Email" dataDxfId="1">
      <extLst>
        <ext xmlns:xlmsforms="http://schemas.microsoft.com/office/spreadsheetml/2023/msForms" uri="{FCC71383-01E1-4257-9335-427F07BE8D7F}">
          <xlmsforms:question id="responder"/>
        </ext>
      </extLst>
    </tableColumn>
    <tableColumn id="5" xr3:uid="{6DA3BC48-E414-F545-B461-87660452C533}" name="Name" dataDxfId="0">
      <extLst>
        <ext xmlns:xlmsforms="http://schemas.microsoft.com/office/spreadsheetml/2023/msForms" uri="{FCC71383-01E1-4257-9335-427F07BE8D7F}">
          <xlmsforms:question id="responderName"/>
        </ext>
      </extLst>
    </tableColumn>
  </tableColumns>
  <tableStyleInfo name="TableStyleMedium2" showFirstColumn="0" showLastColumn="0" showRowStripes="1" showColumnStripes="0"/>
  <extLst>
    <ext xmlns:xlmsforms="http://schemas.microsoft.com/office/spreadsheetml/2023/msForms" uri="{839C7E11-91E4-4DBD-9C5D-0DEA604FA9AC}">
      <xlmsforms:msForm id="DQSIkWdsW0yxEjajBLZtrQAAAAAAAAAAAAMAAFsMpXFUQ0RNVE84V0lJQjU1TTVDM0YxOVgzTFM5Qi4u" isFormConnected="1" maxResponseId="0"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msForm>
    </ext>
  </extLst>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C2F7B0FB-F951-CC43-BF8D-41A5A8229154}" sourceName="Order Date">
  <state minimalRefreshVersion="6" lastRefreshVersion="6" pivotCacheId="2078207331" filterType="dateBetween">
    <selection startDate="2020-08-01T00:00:00" endDate="2020-11-30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832F1D17-4923-5548-9C7C-E92DC7AB2974}" cache="NativeTimeline_Order_Date1" caption="Order Date" level="2" selectionLevel="2" scrollPosition="2020-06-01T00:00:00" style="TimeSlicerStyleLight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7EB43-9C70-0C49-B957-EC84FFA2B571}">
  <dimension ref="A1"/>
  <sheetViews>
    <sheetView tabSelected="1" zoomScale="89" workbookViewId="0">
      <selection activeCell="S40" sqref="S40"/>
    </sheetView>
  </sheetViews>
  <sheetFormatPr baseColWidth="10" defaultRowHeight="15" x14ac:dyDescent="0.2"/>
  <cols>
    <col min="1" max="1" width="1.83203125" customWidth="1"/>
  </cols>
  <sheetData>
    <row r="1" ht="1"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F1" zoomScale="115" zoomScaleNormal="115" workbookViewId="0">
      <selection activeCell="F1" sqref="F1:P7"/>
    </sheetView>
  </sheetViews>
  <sheetFormatPr baseColWidth="10" defaultColWidth="8.83203125" defaultRowHeight="15" x14ac:dyDescent="0.2"/>
  <cols>
    <col min="1" max="1" width="16.5" bestFit="1" customWidth="1"/>
    <col min="2" max="2" width="12" customWidth="1"/>
    <col min="3" max="3" width="17.5" bestFit="1" customWidth="1"/>
    <col min="4" max="4" width="11.33203125" customWidth="1"/>
    <col min="5" max="5" width="10" customWidth="1"/>
    <col min="6" max="6" width="16.1640625" customWidth="1"/>
    <col min="7" max="7" width="17.5" customWidth="1"/>
    <col min="8" max="8" width="16.83203125" customWidth="1"/>
    <col min="9" max="9" width="12.5" customWidth="1"/>
    <col min="10" max="10" width="11.6640625" customWidth="1"/>
    <col min="11" max="11" width="6.1640625" style="5" customWidth="1"/>
    <col min="12" max="12" width="11.83203125" customWidth="1"/>
    <col min="13" max="13" width="8.6640625" bestFit="1" customWidth="1"/>
    <col min="14" max="14" width="17.5" customWidth="1"/>
    <col min="15" max="15" width="16.83203125" customWidth="1"/>
    <col min="16" max="16" width="20.33203125" customWidth="1"/>
  </cols>
  <sheetData>
    <row r="1" spans="1:16" x14ac:dyDescent="0.2">
      <c r="A1" s="2" t="s">
        <v>0</v>
      </c>
      <c r="B1" s="3" t="s">
        <v>1</v>
      </c>
      <c r="C1" s="2" t="s">
        <v>3</v>
      </c>
      <c r="D1" s="2" t="s">
        <v>11</v>
      </c>
      <c r="E1" s="2" t="s">
        <v>14</v>
      </c>
      <c r="F1" s="2" t="s">
        <v>4</v>
      </c>
      <c r="G1" s="2" t="s">
        <v>2</v>
      </c>
      <c r="H1" s="2" t="s">
        <v>7</v>
      </c>
      <c r="I1" s="2" t="s">
        <v>9</v>
      </c>
      <c r="J1" s="2" t="s">
        <v>10</v>
      </c>
      <c r="K1" s="4" t="s">
        <v>12</v>
      </c>
      <c r="L1" s="6" t="s">
        <v>13</v>
      </c>
      <c r="M1" s="6" t="s">
        <v>15</v>
      </c>
      <c r="N1" s="2" t="s">
        <v>6196</v>
      </c>
      <c r="O1" s="2" t="s">
        <v>6197</v>
      </c>
      <c r="P1" t="s">
        <v>6189</v>
      </c>
    </row>
    <row r="2" spans="1:16" x14ac:dyDescent="0.2">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5">
        <f>INDEX(products!$A$1:$G$49,MATCH(orders!$D2,products!$A$1:$A$49,0),MATCH(orders!K$1,products!$A$1:$G$1,0))</f>
        <v>1</v>
      </c>
      <c r="L2" s="7">
        <f>INDEX(products!$A$1:$G$49,MATCH(orders!$D2,products!$A$1:$A$49,0),MATCH(orders!L$1,products!$A$1:$G$1,0))</f>
        <v>9.9499999999999993</v>
      </c>
      <c r="M2" s="7">
        <f>L2*E2</f>
        <v>19.899999999999999</v>
      </c>
      <c r="N2" t="str">
        <f>IF(I2="Rob","Robusta",IF(I2="Ara","Arabica",IF(I2="Exc","Excelsa",IF(I2="Lib","Liberica",""))))</f>
        <v>Robusta</v>
      </c>
      <c r="O2" t="str">
        <f>IF(J2="M","Medium",IF(J2="L","Light",IF(J2="D","Dark","")))</f>
        <v>Medium</v>
      </c>
      <c r="P2" t="str">
        <f>_xlfn.XLOOKUP(Table1[[#This Row],[Customer ID]],customers!$A$1:$A$1001,customers!$I$1:$I$1001,,0)</f>
        <v>Yes</v>
      </c>
    </row>
    <row r="3" spans="1:16" x14ac:dyDescent="0.2">
      <c r="A3" s="2" t="s">
        <v>490</v>
      </c>
      <c r="B3" s="3">
        <v>43713</v>
      </c>
      <c r="C3" s="2" t="s">
        <v>491</v>
      </c>
      <c r="D3" t="s">
        <v>6139</v>
      </c>
      <c r="E3" s="2">
        <v>5</v>
      </c>
      <c r="F3" s="2" t="str">
        <f>_xlfn.XLOOKUP(C3,customers!$A2:$A1002,customers!$B2:$B1002,,0)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5">
        <f>INDEX(products!$A$1:$G$49,MATCH(orders!$D3,products!$A$1:$A$49,0),MATCH(orders!K$1,products!$A$1:$G$1,0))</f>
        <v>0.5</v>
      </c>
      <c r="L3" s="7">
        <f>INDEX(products!$A$1:$G$49,MATCH(orders!$D3,products!$A$1:$A$49,0),MATCH(orders!L$1,products!$A$1:$G$1,0))</f>
        <v>8.25</v>
      </c>
      <c r="M3" s="7">
        <f t="shared" ref="M3:M66" si="0">L3*E3</f>
        <v>41.25</v>
      </c>
      <c r="N3" t="str">
        <f t="shared" ref="N3:N66" si="1">IF(I3="Rob","Robusta",IF(I3="Ara","Arabica",IF(I3="Exc","Excelsa",IF(I3="Lib","Liberica",""))))</f>
        <v>Excelsa</v>
      </c>
      <c r="O3" t="str">
        <f t="shared" ref="O3:O66" si="2">IF(J3="M","Medium",IF(J3="L","Light",IF(J3="D","Dark","")))</f>
        <v>Medium</v>
      </c>
      <c r="P3" t="str">
        <f>_xlfn.XLOOKUP(Table1[[#This Row],[Customer ID]],customers!$A$1:$A$1001,customers!$I$1:$I$1001,,0)</f>
        <v>Yes</v>
      </c>
    </row>
    <row r="4" spans="1:16" x14ac:dyDescent="0.2">
      <c r="A4" s="2" t="s">
        <v>501</v>
      </c>
      <c r="B4" s="3">
        <v>44364</v>
      </c>
      <c r="C4" s="2" t="s">
        <v>502</v>
      </c>
      <c r="D4" t="s">
        <v>6140</v>
      </c>
      <c r="E4" s="2">
        <v>1</v>
      </c>
      <c r="F4" s="2" t="str">
        <f>_xlfn.XLOOKUP(C4,customers!$A3:$A1003,customers!$B3:$B1003,,0)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5">
        <f>INDEX(products!$A$1:$G$49,MATCH(orders!$D4,products!$A$1:$A$49,0),MATCH(orders!K$1,products!$A$1:$G$1,0))</f>
        <v>1</v>
      </c>
      <c r="L4" s="7">
        <f>INDEX(products!$A$1:$G$49,MATCH(orders!$D4,products!$A$1:$A$49,0),MATCH(orders!L$1,products!$A$1:$G$1,0))</f>
        <v>12.95</v>
      </c>
      <c r="M4" s="7">
        <f t="shared" si="0"/>
        <v>12.95</v>
      </c>
      <c r="N4" t="str">
        <f t="shared" si="1"/>
        <v>Arabica</v>
      </c>
      <c r="O4" t="str">
        <f t="shared" si="2"/>
        <v>Light</v>
      </c>
      <c r="P4" t="str">
        <f>_xlfn.XLOOKUP(Table1[[#This Row],[Customer ID]],customers!$A$1:$A$1001,customers!$I$1:$I$1001,,0)</f>
        <v>Yes</v>
      </c>
    </row>
    <row r="5" spans="1:16" x14ac:dyDescent="0.2">
      <c r="A5" s="2" t="s">
        <v>512</v>
      </c>
      <c r="B5" s="3">
        <v>44392</v>
      </c>
      <c r="C5" s="2" t="s">
        <v>513</v>
      </c>
      <c r="D5" t="s">
        <v>6141</v>
      </c>
      <c r="E5" s="2">
        <v>2</v>
      </c>
      <c r="F5" s="2" t="str">
        <f>_xlfn.XLOOKUP(C5,customers!$A4:$A1004,customers!$B4:$B1004,,0)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5">
        <f>INDEX(products!$A$1:$G$49,MATCH(orders!$D5,products!$A$1:$A$49,0),MATCH(orders!K$1,products!$A$1:$G$1,0))</f>
        <v>1</v>
      </c>
      <c r="L5" s="7">
        <f>INDEX(products!$A$1:$G$49,MATCH(orders!$D5,products!$A$1:$A$49,0),MATCH(orders!L$1,products!$A$1:$G$1,0))</f>
        <v>13.75</v>
      </c>
      <c r="M5" s="7">
        <f t="shared" si="0"/>
        <v>27.5</v>
      </c>
      <c r="N5" t="str">
        <f t="shared" si="1"/>
        <v>Excelsa</v>
      </c>
      <c r="O5" t="str">
        <f t="shared" si="2"/>
        <v>Medium</v>
      </c>
      <c r="P5" t="str">
        <f>_xlfn.XLOOKUP(Table1[[#This Row],[Customer ID]],customers!$A$1:$A$1001,customers!$I$1:$I$1001,,0)</f>
        <v>No</v>
      </c>
    </row>
    <row r="6" spans="1:16" x14ac:dyDescent="0.2">
      <c r="A6" s="2" t="s">
        <v>512</v>
      </c>
      <c r="B6" s="3">
        <v>44392</v>
      </c>
      <c r="C6" s="2" t="s">
        <v>513</v>
      </c>
      <c r="D6" t="s">
        <v>6142</v>
      </c>
      <c r="E6" s="2">
        <v>2</v>
      </c>
      <c r="F6" s="2" t="str">
        <f>_xlfn.XLOOKUP(C6,customers!$A5:$A1005,customers!$B5:$B1005,,0)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5">
        <f>INDEX(products!$A$1:$G$49,MATCH(orders!$D6,products!$A$1:$A$49,0),MATCH(orders!K$1,products!$A$1:$G$1,0))</f>
        <v>2.5</v>
      </c>
      <c r="L6" s="7">
        <f>INDEX(products!$A$1:$G$49,MATCH(orders!$D6,products!$A$1:$A$49,0),MATCH(orders!L$1,products!$A$1:$G$1,0))</f>
        <v>27.484999999999996</v>
      </c>
      <c r="M6" s="7">
        <f t="shared" si="0"/>
        <v>54.969999999999992</v>
      </c>
      <c r="N6" t="str">
        <f t="shared" si="1"/>
        <v>Robusta</v>
      </c>
      <c r="O6" t="str">
        <f t="shared" si="2"/>
        <v>Light</v>
      </c>
      <c r="P6" t="str">
        <f>_xlfn.XLOOKUP(Table1[[#This Row],[Customer ID]],customers!$A$1:$A$1001,customers!$I$1:$I$1001,,0)</f>
        <v>No</v>
      </c>
    </row>
    <row r="7" spans="1:16" x14ac:dyDescent="0.2">
      <c r="A7" s="2" t="s">
        <v>519</v>
      </c>
      <c r="B7" s="3">
        <v>44412</v>
      </c>
      <c r="C7" s="2" t="s">
        <v>520</v>
      </c>
      <c r="D7" t="s">
        <v>6143</v>
      </c>
      <c r="E7" s="2">
        <v>3</v>
      </c>
      <c r="F7" s="2" t="str">
        <f>_xlfn.XLOOKUP(C7,customers!$A6:$A1006,customers!$B6:$B1006,,0)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5">
        <f>INDEX(products!$A$1:$G$49,MATCH(orders!$D7,products!$A$1:$A$49,0),MATCH(orders!K$1,products!$A$1:$G$1,0))</f>
        <v>1</v>
      </c>
      <c r="L7" s="7">
        <f>INDEX(products!$A$1:$G$49,MATCH(orders!$D7,products!$A$1:$A$49,0),MATCH(orders!L$1,products!$A$1:$G$1,0))</f>
        <v>12.95</v>
      </c>
      <c r="M7" s="7">
        <f t="shared" si="0"/>
        <v>38.849999999999994</v>
      </c>
      <c r="N7" t="str">
        <f t="shared" si="1"/>
        <v>Liberica</v>
      </c>
      <c r="O7" t="str">
        <f t="shared" si="2"/>
        <v>Dark</v>
      </c>
      <c r="P7" t="str">
        <f>_xlfn.XLOOKUP(Table1[[#This Row],[Customer ID]],customers!$A$1:$A$1001,customers!$I$1:$I$1001,,0)</f>
        <v>No</v>
      </c>
    </row>
    <row r="8" spans="1:16" x14ac:dyDescent="0.2">
      <c r="A8" s="2" t="s">
        <v>524</v>
      </c>
      <c r="B8" s="3">
        <v>44582</v>
      </c>
      <c r="C8" s="2" t="s">
        <v>525</v>
      </c>
      <c r="D8" t="s">
        <v>6144</v>
      </c>
      <c r="E8" s="2">
        <v>3</v>
      </c>
      <c r="F8" s="2" t="str">
        <f>_xlfn.XLOOKUP(C8,customers!$A7:$A1007,customers!$B7:$B1007,,0)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5">
        <f>INDEX(products!$A$1:$G$49,MATCH(orders!$D8,products!$A$1:$A$49,0),MATCH(orders!K$1,products!$A$1:$G$1,0))</f>
        <v>0.5</v>
      </c>
      <c r="L8" s="7">
        <f>INDEX(products!$A$1:$G$49,MATCH(orders!$D8,products!$A$1:$A$49,0),MATCH(orders!L$1,products!$A$1:$G$1,0))</f>
        <v>7.29</v>
      </c>
      <c r="M8" s="7">
        <f t="shared" si="0"/>
        <v>21.87</v>
      </c>
      <c r="N8" t="str">
        <f t="shared" si="1"/>
        <v>Excelsa</v>
      </c>
      <c r="O8" t="str">
        <f t="shared" si="2"/>
        <v>Dark</v>
      </c>
      <c r="P8" t="str">
        <f>_xlfn.XLOOKUP(Table1[[#This Row],[Customer ID]],customers!$A$1:$A$1001,customers!$I$1:$I$1001,,0)</f>
        <v>Yes</v>
      </c>
    </row>
    <row r="9" spans="1:16" x14ac:dyDescent="0.2">
      <c r="A9" s="2" t="s">
        <v>530</v>
      </c>
      <c r="B9" s="3">
        <v>44701</v>
      </c>
      <c r="C9" s="2" t="s">
        <v>531</v>
      </c>
      <c r="D9" t="s">
        <v>6145</v>
      </c>
      <c r="E9" s="2">
        <v>1</v>
      </c>
      <c r="F9" s="2" t="str">
        <f>_xlfn.XLOOKUP(C9,customers!$A8:$A1008,customers!$B8:$B1008,,0)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5">
        <f>INDEX(products!$A$1:$G$49,MATCH(orders!$D9,products!$A$1:$A$49,0),MATCH(orders!K$1,products!$A$1:$G$1,0))</f>
        <v>0.2</v>
      </c>
      <c r="L9" s="7">
        <f>INDEX(products!$A$1:$G$49,MATCH(orders!$D9,products!$A$1:$A$49,0),MATCH(orders!L$1,products!$A$1:$G$1,0))</f>
        <v>4.7549999999999999</v>
      </c>
      <c r="M9" s="7">
        <f t="shared" si="0"/>
        <v>4.7549999999999999</v>
      </c>
      <c r="N9" t="str">
        <f t="shared" si="1"/>
        <v>Liberica</v>
      </c>
      <c r="O9" t="str">
        <f t="shared" si="2"/>
        <v>Light</v>
      </c>
      <c r="P9" t="str">
        <f>_xlfn.XLOOKUP(Table1[[#This Row],[Customer ID]],customers!$A$1:$A$1001,customers!$I$1:$I$1001,,0)</f>
        <v>Yes</v>
      </c>
    </row>
    <row r="10" spans="1:16" x14ac:dyDescent="0.2">
      <c r="A10" s="2" t="s">
        <v>535</v>
      </c>
      <c r="B10" s="3">
        <v>43467</v>
      </c>
      <c r="C10" s="2" t="s">
        <v>536</v>
      </c>
      <c r="D10" t="s">
        <v>6146</v>
      </c>
      <c r="E10" s="2">
        <v>3</v>
      </c>
      <c r="F10" s="2" t="str">
        <f>_xlfn.XLOOKUP(C10,customers!$A9:$A1009,customers!$B9:$B1009,,0)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5">
        <f>INDEX(products!$A$1:$G$49,MATCH(orders!$D10,products!$A$1:$A$49,0),MATCH(orders!K$1,products!$A$1:$G$1,0))</f>
        <v>0.5</v>
      </c>
      <c r="L10" s="7">
        <f>INDEX(products!$A$1:$G$49,MATCH(orders!$D10,products!$A$1:$A$49,0),MATCH(orders!L$1,products!$A$1:$G$1,0))</f>
        <v>5.97</v>
      </c>
      <c r="M10" s="7">
        <f t="shared" si="0"/>
        <v>17.91</v>
      </c>
      <c r="N10" t="str">
        <f t="shared" si="1"/>
        <v>Robusta</v>
      </c>
      <c r="O10" t="str">
        <f t="shared" si="2"/>
        <v>Medium</v>
      </c>
      <c r="P10" t="str">
        <f>_xlfn.XLOOKUP(Table1[[#This Row],[Customer ID]],customers!$A$1:$A$1001,customers!$I$1:$I$1001,,0)</f>
        <v>No</v>
      </c>
    </row>
    <row r="11" spans="1:16" x14ac:dyDescent="0.2">
      <c r="A11" s="2" t="s">
        <v>541</v>
      </c>
      <c r="B11" s="3">
        <v>43713</v>
      </c>
      <c r="C11" s="2" t="s">
        <v>542</v>
      </c>
      <c r="D11" t="s">
        <v>6146</v>
      </c>
      <c r="E11" s="2">
        <v>1</v>
      </c>
      <c r="F11" s="2" t="str">
        <f>_xlfn.XLOOKUP(C11,customers!$A10:$A1010,customers!$B10:$B1010,,0)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5">
        <f>INDEX(products!$A$1:$G$49,MATCH(orders!$D11,products!$A$1:$A$49,0),MATCH(orders!K$1,products!$A$1:$G$1,0))</f>
        <v>0.5</v>
      </c>
      <c r="L11" s="7">
        <f>INDEX(products!$A$1:$G$49,MATCH(orders!$D11,products!$A$1:$A$49,0),MATCH(orders!L$1,products!$A$1:$G$1,0))</f>
        <v>5.97</v>
      </c>
      <c r="M11" s="7">
        <f t="shared" si="0"/>
        <v>5.97</v>
      </c>
      <c r="N11" t="str">
        <f t="shared" si="1"/>
        <v>Robusta</v>
      </c>
      <c r="O11" t="str">
        <f t="shared" si="2"/>
        <v>Medium</v>
      </c>
      <c r="P11" t="str">
        <f>_xlfn.XLOOKUP(Table1[[#This Row],[Customer ID]],customers!$A$1:$A$1001,customers!$I$1:$I$1001,,0)</f>
        <v>No</v>
      </c>
    </row>
    <row r="12" spans="1:16" x14ac:dyDescent="0.2">
      <c r="A12" s="2" t="s">
        <v>547</v>
      </c>
      <c r="B12" s="3">
        <v>44263</v>
      </c>
      <c r="C12" s="2" t="s">
        <v>548</v>
      </c>
      <c r="D12" t="s">
        <v>6147</v>
      </c>
      <c r="E12" s="2">
        <v>4</v>
      </c>
      <c r="F12" s="2" t="str">
        <f>_xlfn.XLOOKUP(C12,customers!$A11:$A1011,customers!$B11:$B1011,,0)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5">
        <f>INDEX(products!$A$1:$G$49,MATCH(orders!$D12,products!$A$1:$A$49,0),MATCH(orders!K$1,products!$A$1:$G$1,0))</f>
        <v>1</v>
      </c>
      <c r="L12" s="7">
        <f>INDEX(products!$A$1:$G$49,MATCH(orders!$D12,products!$A$1:$A$49,0),MATCH(orders!L$1,products!$A$1:$G$1,0))</f>
        <v>9.9499999999999993</v>
      </c>
      <c r="M12" s="7">
        <f t="shared" si="0"/>
        <v>39.799999999999997</v>
      </c>
      <c r="N12" t="str">
        <f t="shared" si="1"/>
        <v>Arabica</v>
      </c>
      <c r="O12" t="str">
        <f t="shared" si="2"/>
        <v>Dark</v>
      </c>
      <c r="P12" t="str">
        <f>_xlfn.XLOOKUP(Table1[[#This Row],[Customer ID]],customers!$A$1:$A$1001,customers!$I$1:$I$1001,,0)</f>
        <v>No</v>
      </c>
    </row>
    <row r="13" spans="1:16" x14ac:dyDescent="0.2">
      <c r="A13" s="2" t="s">
        <v>553</v>
      </c>
      <c r="B13" s="3">
        <v>44132</v>
      </c>
      <c r="C13" s="2" t="s">
        <v>554</v>
      </c>
      <c r="D13" t="s">
        <v>6148</v>
      </c>
      <c r="E13" s="2">
        <v>5</v>
      </c>
      <c r="F13" s="2" t="str">
        <f>_xlfn.XLOOKUP(C13,customers!$A12:$A1012,customers!$B12:$B1012,,0)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5">
        <f>INDEX(products!$A$1:$G$49,MATCH(orders!$D13,products!$A$1:$A$49,0),MATCH(orders!K$1,products!$A$1:$G$1,0))</f>
        <v>2.5</v>
      </c>
      <c r="L13" s="7">
        <f>INDEX(products!$A$1:$G$49,MATCH(orders!$D13,products!$A$1:$A$49,0),MATCH(orders!L$1,products!$A$1:$G$1,0))</f>
        <v>34.154999999999994</v>
      </c>
      <c r="M13" s="7">
        <f t="shared" si="0"/>
        <v>170.77499999999998</v>
      </c>
      <c r="N13" t="str">
        <f t="shared" si="1"/>
        <v>Excelsa</v>
      </c>
      <c r="O13" t="str">
        <f t="shared" si="2"/>
        <v>Light</v>
      </c>
      <c r="P13" t="str">
        <f>_xlfn.XLOOKUP(Table1[[#This Row],[Customer ID]],customers!$A$1:$A$1001,customers!$I$1:$I$1001,,0)</f>
        <v>Yes</v>
      </c>
    </row>
    <row r="14" spans="1:16" x14ac:dyDescent="0.2">
      <c r="A14" s="2" t="s">
        <v>559</v>
      </c>
      <c r="B14" s="3">
        <v>44744</v>
      </c>
      <c r="C14" s="2" t="s">
        <v>560</v>
      </c>
      <c r="D14" t="s">
        <v>6138</v>
      </c>
      <c r="E14" s="2">
        <v>5</v>
      </c>
      <c r="F14" s="2" t="str">
        <f>_xlfn.XLOOKUP(C14,customers!$A13:$A1013,customers!$B13:$B1013,,0)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5">
        <f>INDEX(products!$A$1:$G$49,MATCH(orders!$D14,products!$A$1:$A$49,0),MATCH(orders!K$1,products!$A$1:$G$1,0))</f>
        <v>1</v>
      </c>
      <c r="L14" s="7">
        <f>INDEX(products!$A$1:$G$49,MATCH(orders!$D14,products!$A$1:$A$49,0),MATCH(orders!L$1,products!$A$1:$G$1,0))</f>
        <v>9.9499999999999993</v>
      </c>
      <c r="M14" s="7">
        <f t="shared" si="0"/>
        <v>49.75</v>
      </c>
      <c r="N14" t="str">
        <f t="shared" si="1"/>
        <v>Robusta</v>
      </c>
      <c r="O14" t="str">
        <f t="shared" si="2"/>
        <v>Medium</v>
      </c>
      <c r="P14" t="str">
        <f>_xlfn.XLOOKUP(Table1[[#This Row],[Customer ID]],customers!$A$1:$A$1001,customers!$I$1:$I$1001,,0)</f>
        <v>No</v>
      </c>
    </row>
    <row r="15" spans="1:16" x14ac:dyDescent="0.2">
      <c r="A15" s="2" t="s">
        <v>565</v>
      </c>
      <c r="B15" s="3">
        <v>43973</v>
      </c>
      <c r="C15" s="2" t="s">
        <v>566</v>
      </c>
      <c r="D15" t="s">
        <v>6149</v>
      </c>
      <c r="E15" s="2">
        <v>2</v>
      </c>
      <c r="F15" s="2" t="str">
        <f>_xlfn.XLOOKUP(C15,customers!$A14:$A1014,customers!$B14:$B1014,,0)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5">
        <f>INDEX(products!$A$1:$G$49,MATCH(orders!$D15,products!$A$1:$A$49,0),MATCH(orders!K$1,products!$A$1:$G$1,0))</f>
        <v>2.5</v>
      </c>
      <c r="L15" s="7">
        <f>INDEX(products!$A$1:$G$49,MATCH(orders!$D15,products!$A$1:$A$49,0),MATCH(orders!L$1,products!$A$1:$G$1,0))</f>
        <v>20.584999999999997</v>
      </c>
      <c r="M15" s="7">
        <f t="shared" si="0"/>
        <v>41.169999999999995</v>
      </c>
      <c r="N15" t="str">
        <f t="shared" si="1"/>
        <v>Robusta</v>
      </c>
      <c r="O15" t="str">
        <f t="shared" si="2"/>
        <v>Dark</v>
      </c>
      <c r="P15" t="str">
        <f>_xlfn.XLOOKUP(Table1[[#This Row],[Customer ID]],customers!$A$1:$A$1001,customers!$I$1:$I$1001,,0)</f>
        <v>No</v>
      </c>
    </row>
    <row r="16" spans="1:16" x14ac:dyDescent="0.2">
      <c r="A16" s="2" t="s">
        <v>570</v>
      </c>
      <c r="B16" s="3">
        <v>44656</v>
      </c>
      <c r="C16" s="2" t="s">
        <v>571</v>
      </c>
      <c r="D16" t="s">
        <v>6150</v>
      </c>
      <c r="E16" s="2">
        <v>3</v>
      </c>
      <c r="F16" s="2" t="str">
        <f>_xlfn.XLOOKUP(C16,customers!$A15:$A1015,customers!$B15:$B1015,,0)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5">
        <f>INDEX(products!$A$1:$G$49,MATCH(orders!$D16,products!$A$1:$A$49,0),MATCH(orders!K$1,products!$A$1:$G$1,0))</f>
        <v>0.2</v>
      </c>
      <c r="L16" s="7">
        <f>INDEX(products!$A$1:$G$49,MATCH(orders!$D16,products!$A$1:$A$49,0),MATCH(orders!L$1,products!$A$1:$G$1,0))</f>
        <v>3.8849999999999998</v>
      </c>
      <c r="M16" s="7">
        <f t="shared" si="0"/>
        <v>11.654999999999999</v>
      </c>
      <c r="N16" t="str">
        <f t="shared" si="1"/>
        <v>Liberica</v>
      </c>
      <c r="O16" t="str">
        <f t="shared" si="2"/>
        <v>Dark</v>
      </c>
      <c r="P16" t="str">
        <f>_xlfn.XLOOKUP(Table1[[#This Row],[Customer ID]],customers!$A$1:$A$1001,customers!$I$1:$I$1001,,0)</f>
        <v>Yes</v>
      </c>
    </row>
    <row r="17" spans="1:16" x14ac:dyDescent="0.2">
      <c r="A17" s="2" t="s">
        <v>576</v>
      </c>
      <c r="B17" s="3">
        <v>44719</v>
      </c>
      <c r="C17" s="2" t="s">
        <v>577</v>
      </c>
      <c r="D17" t="s">
        <v>6151</v>
      </c>
      <c r="E17" s="2">
        <v>5</v>
      </c>
      <c r="F17" s="2" t="str">
        <f>_xlfn.XLOOKUP(C17,customers!$A16:$A1016,customers!$B16:$B1016,,0)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5">
        <f>INDEX(products!$A$1:$G$49,MATCH(orders!$D17,products!$A$1:$A$49,0),MATCH(orders!K$1,products!$A$1:$G$1,0))</f>
        <v>2.5</v>
      </c>
      <c r="L17" s="7">
        <f>INDEX(products!$A$1:$G$49,MATCH(orders!$D17,products!$A$1:$A$49,0),MATCH(orders!L$1,products!$A$1:$G$1,0))</f>
        <v>22.884999999999998</v>
      </c>
      <c r="M17" s="7">
        <f t="shared" si="0"/>
        <v>114.42499999999998</v>
      </c>
      <c r="N17" t="str">
        <f t="shared" si="1"/>
        <v>Robusta</v>
      </c>
      <c r="O17" t="str">
        <f t="shared" si="2"/>
        <v>Medium</v>
      </c>
      <c r="P17" t="str">
        <f>_xlfn.XLOOKUP(Table1[[#This Row],[Customer ID]],customers!$A$1:$A$1001,customers!$I$1:$I$1001,,0)</f>
        <v>No</v>
      </c>
    </row>
    <row r="18" spans="1:16" x14ac:dyDescent="0.2">
      <c r="A18" s="2" t="s">
        <v>581</v>
      </c>
      <c r="B18" s="3">
        <v>43544</v>
      </c>
      <c r="C18" s="2" t="s">
        <v>582</v>
      </c>
      <c r="D18" t="s">
        <v>6152</v>
      </c>
      <c r="E18" s="2">
        <v>6</v>
      </c>
      <c r="F18" s="2" t="str">
        <f>_xlfn.XLOOKUP(C18,customers!$A17:$A1017,customers!$B17:$B1017,,0)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5">
        <f>INDEX(products!$A$1:$G$49,MATCH(orders!$D18,products!$A$1:$A$49,0),MATCH(orders!K$1,products!$A$1:$G$1,0))</f>
        <v>0.2</v>
      </c>
      <c r="L18" s="7">
        <f>INDEX(products!$A$1:$G$49,MATCH(orders!$D18,products!$A$1:$A$49,0),MATCH(orders!L$1,products!$A$1:$G$1,0))</f>
        <v>3.375</v>
      </c>
      <c r="M18" s="7">
        <f t="shared" si="0"/>
        <v>20.25</v>
      </c>
      <c r="N18" t="str">
        <f t="shared" si="1"/>
        <v>Arabica</v>
      </c>
      <c r="O18" t="str">
        <f t="shared" si="2"/>
        <v>Medium</v>
      </c>
      <c r="P18" t="str">
        <f>_xlfn.XLOOKUP(Table1[[#This Row],[Customer ID]],customers!$A$1:$A$1001,customers!$I$1:$I$1001,,0)</f>
        <v>No</v>
      </c>
    </row>
    <row r="19" spans="1:16" x14ac:dyDescent="0.2">
      <c r="A19" s="2" t="s">
        <v>587</v>
      </c>
      <c r="B19" s="3">
        <v>43757</v>
      </c>
      <c r="C19" s="2" t="s">
        <v>588</v>
      </c>
      <c r="D19" t="s">
        <v>6140</v>
      </c>
      <c r="E19" s="2">
        <v>6</v>
      </c>
      <c r="F19" s="2" t="str">
        <f>_xlfn.XLOOKUP(C19,customers!$A18:$A1018,customers!$B18:$B1018,,0)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5">
        <f>INDEX(products!$A$1:$G$49,MATCH(orders!$D19,products!$A$1:$A$49,0),MATCH(orders!K$1,products!$A$1:$G$1,0))</f>
        <v>1</v>
      </c>
      <c r="L19" s="7">
        <f>INDEX(products!$A$1:$G$49,MATCH(orders!$D19,products!$A$1:$A$49,0),MATCH(orders!L$1,products!$A$1:$G$1,0))</f>
        <v>12.95</v>
      </c>
      <c r="M19" s="7">
        <f t="shared" si="0"/>
        <v>77.699999999999989</v>
      </c>
      <c r="N19" t="str">
        <f t="shared" si="1"/>
        <v>Arabica</v>
      </c>
      <c r="O19" t="str">
        <f t="shared" si="2"/>
        <v>Light</v>
      </c>
      <c r="P19" t="str">
        <f>_xlfn.XLOOKUP(Table1[[#This Row],[Customer ID]],customers!$A$1:$A$1001,customers!$I$1:$I$1001,,0)</f>
        <v>No</v>
      </c>
    </row>
    <row r="20" spans="1:16" x14ac:dyDescent="0.2">
      <c r="A20" s="2" t="s">
        <v>593</v>
      </c>
      <c r="B20" s="3">
        <v>43629</v>
      </c>
      <c r="C20" s="2" t="s">
        <v>594</v>
      </c>
      <c r="D20" t="s">
        <v>6149</v>
      </c>
      <c r="E20" s="2">
        <v>4</v>
      </c>
      <c r="F20" s="2" t="str">
        <f>_xlfn.XLOOKUP(C20,customers!$A19:$A1019,customers!$B19:$B1019,,0)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5">
        <f>INDEX(products!$A$1:$G$49,MATCH(orders!$D20,products!$A$1:$A$49,0),MATCH(orders!K$1,products!$A$1:$G$1,0))</f>
        <v>2.5</v>
      </c>
      <c r="L20" s="7">
        <f>INDEX(products!$A$1:$G$49,MATCH(orders!$D20,products!$A$1:$A$49,0),MATCH(orders!L$1,products!$A$1:$G$1,0))</f>
        <v>20.584999999999997</v>
      </c>
      <c r="M20" s="7">
        <f t="shared" si="0"/>
        <v>82.339999999999989</v>
      </c>
      <c r="N20" t="str">
        <f t="shared" si="1"/>
        <v>Robusta</v>
      </c>
      <c r="O20" t="str">
        <f t="shared" si="2"/>
        <v>Dark</v>
      </c>
      <c r="P20" t="str">
        <f>_xlfn.XLOOKUP(Table1[[#This Row],[Customer ID]],customers!$A$1:$A$1001,customers!$I$1:$I$1001,,0)</f>
        <v>Yes</v>
      </c>
    </row>
    <row r="21" spans="1:16" x14ac:dyDescent="0.2">
      <c r="A21" s="2" t="s">
        <v>598</v>
      </c>
      <c r="B21" s="3">
        <v>44169</v>
      </c>
      <c r="C21" s="2" t="s">
        <v>599</v>
      </c>
      <c r="D21" t="s">
        <v>6152</v>
      </c>
      <c r="E21" s="2">
        <v>5</v>
      </c>
      <c r="F21" s="2" t="str">
        <f>_xlfn.XLOOKUP(C21,customers!$A20:$A1020,customers!$B20:$B1020,,0)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5">
        <f>INDEX(products!$A$1:$G$49,MATCH(orders!$D21,products!$A$1:$A$49,0),MATCH(orders!K$1,products!$A$1:$G$1,0))</f>
        <v>0.2</v>
      </c>
      <c r="L21" s="7">
        <f>INDEX(products!$A$1:$G$49,MATCH(orders!$D21,products!$A$1:$A$49,0),MATCH(orders!L$1,products!$A$1:$G$1,0))</f>
        <v>3.375</v>
      </c>
      <c r="M21" s="7">
        <f t="shared" si="0"/>
        <v>16.875</v>
      </c>
      <c r="N21" t="str">
        <f t="shared" si="1"/>
        <v>Arabica</v>
      </c>
      <c r="O21" t="str">
        <f t="shared" si="2"/>
        <v>Medium</v>
      </c>
      <c r="P21" t="str">
        <f>_xlfn.XLOOKUP(Table1[[#This Row],[Customer ID]],customers!$A$1:$A$1001,customers!$I$1:$I$1001,,0)</f>
        <v>Yes</v>
      </c>
    </row>
    <row r="22" spans="1:16" x14ac:dyDescent="0.2">
      <c r="A22" s="2" t="s">
        <v>598</v>
      </c>
      <c r="B22" s="3">
        <v>44169</v>
      </c>
      <c r="C22" s="2" t="s">
        <v>599</v>
      </c>
      <c r="D22" t="s">
        <v>6153</v>
      </c>
      <c r="E22" s="2">
        <v>4</v>
      </c>
      <c r="F22" s="2" t="str">
        <f>_xlfn.XLOOKUP(C22,customers!$A21:$A1021,customers!$B21:$B1021,,0)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5">
        <f>INDEX(products!$A$1:$G$49,MATCH(orders!$D22,products!$A$1:$A$49,0),MATCH(orders!K$1,products!$A$1:$G$1,0))</f>
        <v>0.2</v>
      </c>
      <c r="L22" s="7">
        <f>INDEX(products!$A$1:$G$49,MATCH(orders!$D22,products!$A$1:$A$49,0),MATCH(orders!L$1,products!$A$1:$G$1,0))</f>
        <v>3.645</v>
      </c>
      <c r="M22" s="7">
        <f t="shared" si="0"/>
        <v>14.58</v>
      </c>
      <c r="N22" t="str">
        <f t="shared" si="1"/>
        <v>Excelsa</v>
      </c>
      <c r="O22" t="str">
        <f t="shared" si="2"/>
        <v>Dark</v>
      </c>
      <c r="P22" t="str">
        <f>_xlfn.XLOOKUP(Table1[[#This Row],[Customer ID]],customers!$A$1:$A$1001,customers!$I$1:$I$1001,,0)</f>
        <v>Yes</v>
      </c>
    </row>
    <row r="23" spans="1:16" x14ac:dyDescent="0.2">
      <c r="A23" s="2" t="s">
        <v>608</v>
      </c>
      <c r="B23" s="3">
        <v>44169</v>
      </c>
      <c r="C23" s="2" t="s">
        <v>609</v>
      </c>
      <c r="D23" t="s">
        <v>6154</v>
      </c>
      <c r="E23" s="2">
        <v>6</v>
      </c>
      <c r="F23" s="2" t="str">
        <f>_xlfn.XLOOKUP(C23,customers!$A22:$A1022,customers!$B22:$B1022,,0)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5">
        <f>INDEX(products!$A$1:$G$49,MATCH(orders!$D23,products!$A$1:$A$49,0),MATCH(orders!K$1,products!$A$1:$G$1,0))</f>
        <v>0.2</v>
      </c>
      <c r="L23" s="7">
        <f>INDEX(products!$A$1:$G$49,MATCH(orders!$D23,products!$A$1:$A$49,0),MATCH(orders!L$1,products!$A$1:$G$1,0))</f>
        <v>2.9849999999999999</v>
      </c>
      <c r="M23" s="7">
        <f t="shared" si="0"/>
        <v>17.91</v>
      </c>
      <c r="N23" t="str">
        <f t="shared" si="1"/>
        <v>Arabica</v>
      </c>
      <c r="O23" t="str">
        <f t="shared" si="2"/>
        <v>Dark</v>
      </c>
      <c r="P23" t="str">
        <f>_xlfn.XLOOKUP(Table1[[#This Row],[Customer ID]],customers!$A$1:$A$1001,customers!$I$1:$I$1001,,0)</f>
        <v>No</v>
      </c>
    </row>
    <row r="24" spans="1:16" x14ac:dyDescent="0.2">
      <c r="A24" s="2" t="s">
        <v>614</v>
      </c>
      <c r="B24" s="3">
        <v>44218</v>
      </c>
      <c r="C24" s="2" t="s">
        <v>615</v>
      </c>
      <c r="D24" t="s">
        <v>6151</v>
      </c>
      <c r="E24" s="2">
        <v>4</v>
      </c>
      <c r="F24" s="2" t="str">
        <f>_xlfn.XLOOKUP(C24,customers!$A23:$A1023,customers!$B23:$B1023,,0)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5">
        <f>INDEX(products!$A$1:$G$49,MATCH(orders!$D24,products!$A$1:$A$49,0),MATCH(orders!K$1,products!$A$1:$G$1,0))</f>
        <v>2.5</v>
      </c>
      <c r="L24" s="7">
        <f>INDEX(products!$A$1:$G$49,MATCH(orders!$D24,products!$A$1:$A$49,0),MATCH(orders!L$1,products!$A$1:$G$1,0))</f>
        <v>22.884999999999998</v>
      </c>
      <c r="M24" s="7">
        <f t="shared" si="0"/>
        <v>91.539999999999992</v>
      </c>
      <c r="N24" t="str">
        <f t="shared" si="1"/>
        <v>Robusta</v>
      </c>
      <c r="O24" t="str">
        <f t="shared" si="2"/>
        <v>Medium</v>
      </c>
      <c r="P24" t="str">
        <f>_xlfn.XLOOKUP(Table1[[#This Row],[Customer ID]],customers!$A$1:$A$1001,customers!$I$1:$I$1001,,0)</f>
        <v>Yes</v>
      </c>
    </row>
    <row r="25" spans="1:16" x14ac:dyDescent="0.2">
      <c r="A25" s="2" t="s">
        <v>620</v>
      </c>
      <c r="B25" s="3">
        <v>44603</v>
      </c>
      <c r="C25" s="2" t="s">
        <v>621</v>
      </c>
      <c r="D25" t="s">
        <v>6154</v>
      </c>
      <c r="E25" s="2">
        <v>4</v>
      </c>
      <c r="F25" s="2" t="str">
        <f>_xlfn.XLOOKUP(C25,customers!$A24:$A1024,customers!$B24:$B1024,,0)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5">
        <f>INDEX(products!$A$1:$G$49,MATCH(orders!$D25,products!$A$1:$A$49,0),MATCH(orders!K$1,products!$A$1:$G$1,0))</f>
        <v>0.2</v>
      </c>
      <c r="L25" s="7">
        <f>INDEX(products!$A$1:$G$49,MATCH(orders!$D25,products!$A$1:$A$49,0),MATCH(orders!L$1,products!$A$1:$G$1,0))</f>
        <v>2.9849999999999999</v>
      </c>
      <c r="M25" s="7">
        <f t="shared" si="0"/>
        <v>11.94</v>
      </c>
      <c r="N25" t="str">
        <f t="shared" si="1"/>
        <v>Arabica</v>
      </c>
      <c r="O25" t="str">
        <f t="shared" si="2"/>
        <v>Dark</v>
      </c>
      <c r="P25" t="str">
        <f>_xlfn.XLOOKUP(Table1[[#This Row],[Customer ID]],customers!$A$1:$A$1001,customers!$I$1:$I$1001,,0)</f>
        <v>Yes</v>
      </c>
    </row>
    <row r="26" spans="1:16" x14ac:dyDescent="0.2">
      <c r="A26" s="2" t="s">
        <v>626</v>
      </c>
      <c r="B26" s="3">
        <v>44454</v>
      </c>
      <c r="C26" s="2" t="s">
        <v>627</v>
      </c>
      <c r="D26" t="s">
        <v>6155</v>
      </c>
      <c r="E26" s="2">
        <v>1</v>
      </c>
      <c r="F26" s="2" t="str">
        <f>_xlfn.XLOOKUP(C26,customers!$A25:$A1025,customers!$B25:$B1025,,0)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5">
        <f>INDEX(products!$A$1:$G$49,MATCH(orders!$D26,products!$A$1:$A$49,0),MATCH(orders!K$1,products!$A$1:$G$1,0))</f>
        <v>1</v>
      </c>
      <c r="L26" s="7">
        <f>INDEX(products!$A$1:$G$49,MATCH(orders!$D26,products!$A$1:$A$49,0),MATCH(orders!L$1,products!$A$1:$G$1,0))</f>
        <v>11.25</v>
      </c>
      <c r="M26" s="7">
        <f t="shared" si="0"/>
        <v>11.25</v>
      </c>
      <c r="N26" t="str">
        <f t="shared" si="1"/>
        <v>Arabica</v>
      </c>
      <c r="O26" t="str">
        <f t="shared" si="2"/>
        <v>Medium</v>
      </c>
      <c r="P26" t="str">
        <f>_xlfn.XLOOKUP(Table1[[#This Row],[Customer ID]],customers!$A$1:$A$1001,customers!$I$1:$I$1001,,0)</f>
        <v>No</v>
      </c>
    </row>
    <row r="27" spans="1:16" x14ac:dyDescent="0.2">
      <c r="A27" s="2" t="s">
        <v>632</v>
      </c>
      <c r="B27" s="3">
        <v>44128</v>
      </c>
      <c r="C27" s="2" t="s">
        <v>633</v>
      </c>
      <c r="D27" t="s">
        <v>6156</v>
      </c>
      <c r="E27" s="2">
        <v>3</v>
      </c>
      <c r="F27" s="2" t="str">
        <f>_xlfn.XLOOKUP(C27,customers!$A26:$A1026,customers!$B26:$B1026,,0)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5">
        <f>INDEX(products!$A$1:$G$49,MATCH(orders!$D27,products!$A$1:$A$49,0),MATCH(orders!K$1,products!$A$1:$G$1,0))</f>
        <v>0.2</v>
      </c>
      <c r="L27" s="7">
        <f>INDEX(products!$A$1:$G$49,MATCH(orders!$D27,products!$A$1:$A$49,0),MATCH(orders!L$1,products!$A$1:$G$1,0))</f>
        <v>4.125</v>
      </c>
      <c r="M27" s="7">
        <f t="shared" si="0"/>
        <v>12.375</v>
      </c>
      <c r="N27" t="str">
        <f t="shared" si="1"/>
        <v>Excelsa</v>
      </c>
      <c r="O27" t="str">
        <f t="shared" si="2"/>
        <v>Medium</v>
      </c>
      <c r="P27" t="str">
        <f>_xlfn.XLOOKUP(Table1[[#This Row],[Customer ID]],customers!$A$1:$A$1001,customers!$I$1:$I$1001,,0)</f>
        <v>Yes</v>
      </c>
    </row>
    <row r="28" spans="1:16" x14ac:dyDescent="0.2">
      <c r="A28" s="2" t="s">
        <v>637</v>
      </c>
      <c r="B28" s="3">
        <v>43516</v>
      </c>
      <c r="C28" s="2" t="s">
        <v>638</v>
      </c>
      <c r="D28" t="s">
        <v>6157</v>
      </c>
      <c r="E28" s="2">
        <v>4</v>
      </c>
      <c r="F28" s="2" t="str">
        <f>_xlfn.XLOOKUP(C28,customers!$A27:$A1027,customers!$B27:$B1027,,0)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5">
        <f>INDEX(products!$A$1:$G$49,MATCH(orders!$D28,products!$A$1:$A$49,0),MATCH(orders!K$1,products!$A$1:$G$1,0))</f>
        <v>0.5</v>
      </c>
      <c r="L28" s="7">
        <f>INDEX(products!$A$1:$G$49,MATCH(orders!$D28,products!$A$1:$A$49,0),MATCH(orders!L$1,products!$A$1:$G$1,0))</f>
        <v>6.75</v>
      </c>
      <c r="M28" s="7">
        <f t="shared" si="0"/>
        <v>27</v>
      </c>
      <c r="N28" t="str">
        <f t="shared" si="1"/>
        <v>Arabica</v>
      </c>
      <c r="O28" t="str">
        <f t="shared" si="2"/>
        <v>Medium</v>
      </c>
      <c r="P28" t="str">
        <f>_xlfn.XLOOKUP(Table1[[#This Row],[Customer ID]],customers!$A$1:$A$1001,customers!$I$1:$I$1001,,0)</f>
        <v>Yes</v>
      </c>
    </row>
    <row r="29" spans="1:16" x14ac:dyDescent="0.2">
      <c r="A29" s="2" t="s">
        <v>643</v>
      </c>
      <c r="B29" s="3">
        <v>43746</v>
      </c>
      <c r="C29" s="2" t="s">
        <v>644</v>
      </c>
      <c r="D29" t="s">
        <v>6152</v>
      </c>
      <c r="E29" s="2">
        <v>5</v>
      </c>
      <c r="F29" s="2" t="str">
        <f>_xlfn.XLOOKUP(C29,customers!$A28:$A1028,customers!$B28:$B1028,,0)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5">
        <f>INDEX(products!$A$1:$G$49,MATCH(orders!$D29,products!$A$1:$A$49,0),MATCH(orders!K$1,products!$A$1:$G$1,0))</f>
        <v>0.2</v>
      </c>
      <c r="L29" s="7">
        <f>INDEX(products!$A$1:$G$49,MATCH(orders!$D29,products!$A$1:$A$49,0),MATCH(orders!L$1,products!$A$1:$G$1,0))</f>
        <v>3.375</v>
      </c>
      <c r="M29" s="7">
        <f t="shared" si="0"/>
        <v>16.875</v>
      </c>
      <c r="N29" t="str">
        <f t="shared" si="1"/>
        <v>Arabica</v>
      </c>
      <c r="O29" t="str">
        <f t="shared" si="2"/>
        <v>Medium</v>
      </c>
      <c r="P29" t="str">
        <f>_xlfn.XLOOKUP(Table1[[#This Row],[Customer ID]],customers!$A$1:$A$1001,customers!$I$1:$I$1001,,0)</f>
        <v>No</v>
      </c>
    </row>
    <row r="30" spans="1:16" x14ac:dyDescent="0.2">
      <c r="A30" s="2" t="s">
        <v>649</v>
      </c>
      <c r="B30" s="3">
        <v>44775</v>
      </c>
      <c r="C30" s="2" t="s">
        <v>650</v>
      </c>
      <c r="D30" t="s">
        <v>6158</v>
      </c>
      <c r="E30" s="2">
        <v>3</v>
      </c>
      <c r="F30" s="2" t="str">
        <f>_xlfn.XLOOKUP(C30,customers!$A29:$A1029,customers!$B29:$B1029,,0)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5">
        <f>INDEX(products!$A$1:$G$49,MATCH(orders!$D30,products!$A$1:$A$49,0),MATCH(orders!K$1,products!$A$1:$G$1,0))</f>
        <v>0.5</v>
      </c>
      <c r="L30" s="7">
        <f>INDEX(products!$A$1:$G$49,MATCH(orders!$D30,products!$A$1:$A$49,0),MATCH(orders!L$1,products!$A$1:$G$1,0))</f>
        <v>5.97</v>
      </c>
      <c r="M30" s="7">
        <f t="shared" si="0"/>
        <v>17.91</v>
      </c>
      <c r="N30" t="str">
        <f t="shared" si="1"/>
        <v>Arabica</v>
      </c>
      <c r="O30" t="str">
        <f t="shared" si="2"/>
        <v>Dark</v>
      </c>
      <c r="P30" t="str">
        <f>_xlfn.XLOOKUP(Table1[[#This Row],[Customer ID]],customers!$A$1:$A$1001,customers!$I$1:$I$1001,,0)</f>
        <v>No</v>
      </c>
    </row>
    <row r="31" spans="1:16" x14ac:dyDescent="0.2">
      <c r="A31" s="2" t="s">
        <v>655</v>
      </c>
      <c r="B31" s="3">
        <v>43516</v>
      </c>
      <c r="C31" s="2" t="s">
        <v>656</v>
      </c>
      <c r="D31" t="s">
        <v>6147</v>
      </c>
      <c r="E31" s="2">
        <v>4</v>
      </c>
      <c r="F31" s="2" t="str">
        <f>_xlfn.XLOOKUP(C31,customers!$A30:$A1030,customers!$B30:$B1030,,0)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5">
        <f>INDEX(products!$A$1:$G$49,MATCH(orders!$D31,products!$A$1:$A$49,0),MATCH(orders!K$1,products!$A$1:$G$1,0))</f>
        <v>1</v>
      </c>
      <c r="L31" s="7">
        <f>INDEX(products!$A$1:$G$49,MATCH(orders!$D31,products!$A$1:$A$49,0),MATCH(orders!L$1,products!$A$1:$G$1,0))</f>
        <v>9.9499999999999993</v>
      </c>
      <c r="M31" s="7">
        <f t="shared" si="0"/>
        <v>39.799999999999997</v>
      </c>
      <c r="N31" t="str">
        <f t="shared" si="1"/>
        <v>Arabica</v>
      </c>
      <c r="O31" t="str">
        <f t="shared" si="2"/>
        <v>Dark</v>
      </c>
      <c r="P31" t="str">
        <f>_xlfn.XLOOKUP(Table1[[#This Row],[Customer ID]],customers!$A$1:$A$1001,customers!$I$1:$I$1001,,0)</f>
        <v>Yes</v>
      </c>
    </row>
    <row r="32" spans="1:16" x14ac:dyDescent="0.2">
      <c r="A32" s="2" t="s">
        <v>661</v>
      </c>
      <c r="B32" s="3">
        <v>44464</v>
      </c>
      <c r="C32" s="2" t="s">
        <v>662</v>
      </c>
      <c r="D32" t="s">
        <v>6159</v>
      </c>
      <c r="E32" s="2">
        <v>5</v>
      </c>
      <c r="F32" s="2" t="str">
        <f>_xlfn.XLOOKUP(C32,customers!$A31:$A1031,customers!$B31:$B1031,,0)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5">
        <f>INDEX(products!$A$1:$G$49,MATCH(orders!$D32,products!$A$1:$A$49,0),MATCH(orders!K$1,products!$A$1:$G$1,0))</f>
        <v>0.2</v>
      </c>
      <c r="L32" s="7">
        <f>INDEX(products!$A$1:$G$49,MATCH(orders!$D32,products!$A$1:$A$49,0),MATCH(orders!L$1,products!$A$1:$G$1,0))</f>
        <v>4.3650000000000002</v>
      </c>
      <c r="M32" s="7">
        <f t="shared" si="0"/>
        <v>21.825000000000003</v>
      </c>
      <c r="N32" t="str">
        <f t="shared" si="1"/>
        <v>Liberica</v>
      </c>
      <c r="O32" t="str">
        <f t="shared" si="2"/>
        <v>Medium</v>
      </c>
      <c r="P32" t="str">
        <f>_xlfn.XLOOKUP(Table1[[#This Row],[Customer ID]],customers!$A$1:$A$1001,customers!$I$1:$I$1001,,0)</f>
        <v>No</v>
      </c>
    </row>
    <row r="33" spans="1:16" x14ac:dyDescent="0.2">
      <c r="A33" s="2" t="s">
        <v>661</v>
      </c>
      <c r="B33" s="3">
        <v>44464</v>
      </c>
      <c r="C33" s="2" t="s">
        <v>662</v>
      </c>
      <c r="D33" t="s">
        <v>6158</v>
      </c>
      <c r="E33" s="2">
        <v>6</v>
      </c>
      <c r="F33" s="2" t="str">
        <f>_xlfn.XLOOKUP(C33,customers!$A32:$A1032,customers!$B32:$B1032,,0)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5">
        <f>INDEX(products!$A$1:$G$49,MATCH(orders!$D33,products!$A$1:$A$49,0),MATCH(orders!K$1,products!$A$1:$G$1,0))</f>
        <v>0.5</v>
      </c>
      <c r="L33" s="7">
        <f>INDEX(products!$A$1:$G$49,MATCH(orders!$D33,products!$A$1:$A$49,0),MATCH(orders!L$1,products!$A$1:$G$1,0))</f>
        <v>5.97</v>
      </c>
      <c r="M33" s="7">
        <f t="shared" si="0"/>
        <v>35.82</v>
      </c>
      <c r="N33" t="str">
        <f t="shared" si="1"/>
        <v>Arabica</v>
      </c>
      <c r="O33" t="str">
        <f t="shared" si="2"/>
        <v>Dark</v>
      </c>
      <c r="P33" t="str">
        <f>_xlfn.XLOOKUP(Table1[[#This Row],[Customer ID]],customers!$A$1:$A$1001,customers!$I$1:$I$1001,,0)</f>
        <v>No</v>
      </c>
    </row>
    <row r="34" spans="1:16" x14ac:dyDescent="0.2">
      <c r="A34" s="2" t="s">
        <v>661</v>
      </c>
      <c r="B34" s="3">
        <v>44464</v>
      </c>
      <c r="C34" s="2" t="s">
        <v>662</v>
      </c>
      <c r="D34" t="s">
        <v>6160</v>
      </c>
      <c r="E34" s="2">
        <v>6</v>
      </c>
      <c r="F34" s="2" t="e">
        <f>_xlfn.XLOOKUP(C34,customers!$A33:$A1033,customers!$B33:$B1033,,0)</f>
        <v>#N/A</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5">
        <f>INDEX(products!$A$1:$G$49,MATCH(orders!$D34,products!$A$1:$A$49,0),MATCH(orders!K$1,products!$A$1:$G$1,0))</f>
        <v>0.5</v>
      </c>
      <c r="L34" s="7">
        <f>INDEX(products!$A$1:$G$49,MATCH(orders!$D34,products!$A$1:$A$49,0),MATCH(orders!L$1,products!$A$1:$G$1,0))</f>
        <v>8.73</v>
      </c>
      <c r="M34" s="7">
        <f t="shared" si="0"/>
        <v>52.38</v>
      </c>
      <c r="N34" t="str">
        <f t="shared" si="1"/>
        <v>Liberica</v>
      </c>
      <c r="O34" t="str">
        <f t="shared" si="2"/>
        <v>Medium</v>
      </c>
      <c r="P34" t="str">
        <f>_xlfn.XLOOKUP(Table1[[#This Row],[Customer ID]],customers!$A$1:$A$1001,customers!$I$1:$I$1001,,0)</f>
        <v>No</v>
      </c>
    </row>
    <row r="35" spans="1:16" x14ac:dyDescent="0.2">
      <c r="A35" s="2" t="s">
        <v>676</v>
      </c>
      <c r="B35" s="3">
        <v>44394</v>
      </c>
      <c r="C35" s="2" t="s">
        <v>677</v>
      </c>
      <c r="D35" t="s">
        <v>6145</v>
      </c>
      <c r="E35" s="2">
        <v>5</v>
      </c>
      <c r="F35" s="2" t="str">
        <f>_xlfn.XLOOKUP(C35,customers!$A34:$A1034,customers!$B34:$B1034,,0)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5">
        <f>INDEX(products!$A$1:$G$49,MATCH(orders!$D35,products!$A$1:$A$49,0),MATCH(orders!K$1,products!$A$1:$G$1,0))</f>
        <v>0.2</v>
      </c>
      <c r="L35" s="7">
        <f>INDEX(products!$A$1:$G$49,MATCH(orders!$D35,products!$A$1:$A$49,0),MATCH(orders!L$1,products!$A$1:$G$1,0))</f>
        <v>4.7549999999999999</v>
      </c>
      <c r="M35" s="7">
        <f t="shared" si="0"/>
        <v>23.774999999999999</v>
      </c>
      <c r="N35" t="str">
        <f t="shared" si="1"/>
        <v>Liberica</v>
      </c>
      <c r="O35" t="str">
        <f t="shared" si="2"/>
        <v>Light</v>
      </c>
      <c r="P35" t="str">
        <f>_xlfn.XLOOKUP(Table1[[#This Row],[Customer ID]],customers!$A$1:$A$1001,customers!$I$1:$I$1001,,0)</f>
        <v>No</v>
      </c>
    </row>
    <row r="36" spans="1:16" x14ac:dyDescent="0.2">
      <c r="A36" s="2" t="s">
        <v>681</v>
      </c>
      <c r="B36" s="3">
        <v>44011</v>
      </c>
      <c r="C36" s="2" t="s">
        <v>682</v>
      </c>
      <c r="D36" t="s">
        <v>6161</v>
      </c>
      <c r="E36" s="2">
        <v>6</v>
      </c>
      <c r="F36" s="2" t="str">
        <f>_xlfn.XLOOKUP(C36,customers!$A35:$A1035,customers!$B35:$B1035,,0)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5">
        <f>INDEX(products!$A$1:$G$49,MATCH(orders!$D36,products!$A$1:$A$49,0),MATCH(orders!K$1,products!$A$1:$G$1,0))</f>
        <v>0.5</v>
      </c>
      <c r="L36" s="7">
        <f>INDEX(products!$A$1:$G$49,MATCH(orders!$D36,products!$A$1:$A$49,0),MATCH(orders!L$1,products!$A$1:$G$1,0))</f>
        <v>9.51</v>
      </c>
      <c r="M36" s="7">
        <f t="shared" si="0"/>
        <v>57.06</v>
      </c>
      <c r="N36" t="str">
        <f t="shared" si="1"/>
        <v>Liberica</v>
      </c>
      <c r="O36" t="str">
        <f t="shared" si="2"/>
        <v>Light</v>
      </c>
      <c r="P36" t="str">
        <f>_xlfn.XLOOKUP(Table1[[#This Row],[Customer ID]],customers!$A$1:$A$1001,customers!$I$1:$I$1001,,0)</f>
        <v>Yes</v>
      </c>
    </row>
    <row r="37" spans="1:16" x14ac:dyDescent="0.2">
      <c r="A37" s="2" t="s">
        <v>687</v>
      </c>
      <c r="B37" s="3">
        <v>44348</v>
      </c>
      <c r="C37" s="2" t="s">
        <v>688</v>
      </c>
      <c r="D37" t="s">
        <v>6158</v>
      </c>
      <c r="E37" s="2">
        <v>6</v>
      </c>
      <c r="F37" s="2" t="str">
        <f>_xlfn.XLOOKUP(C37,customers!$A36:$A1036,customers!$B36:$B1036,,0)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5">
        <f>INDEX(products!$A$1:$G$49,MATCH(orders!$D37,products!$A$1:$A$49,0),MATCH(orders!K$1,products!$A$1:$G$1,0))</f>
        <v>0.5</v>
      </c>
      <c r="L37" s="7">
        <f>INDEX(products!$A$1:$G$49,MATCH(orders!$D37,products!$A$1:$A$49,0),MATCH(orders!L$1,products!$A$1:$G$1,0))</f>
        <v>5.97</v>
      </c>
      <c r="M37" s="7">
        <f t="shared" si="0"/>
        <v>35.82</v>
      </c>
      <c r="N37" t="str">
        <f t="shared" si="1"/>
        <v>Arabica</v>
      </c>
      <c r="O37" t="str">
        <f t="shared" si="2"/>
        <v>Dark</v>
      </c>
      <c r="P37" t="str">
        <f>_xlfn.XLOOKUP(Table1[[#This Row],[Customer ID]],customers!$A$1:$A$1001,customers!$I$1:$I$1001,,0)</f>
        <v>No</v>
      </c>
    </row>
    <row r="38" spans="1:16" x14ac:dyDescent="0.2">
      <c r="A38" s="2" t="s">
        <v>693</v>
      </c>
      <c r="B38" s="3">
        <v>44233</v>
      </c>
      <c r="C38" s="2" t="s">
        <v>694</v>
      </c>
      <c r="D38" t="s">
        <v>6159</v>
      </c>
      <c r="E38" s="2">
        <v>2</v>
      </c>
      <c r="F38" s="2" t="str">
        <f>_xlfn.XLOOKUP(C38,customers!$A37:$A1037,customers!$B37:$B1037,,0)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5">
        <f>INDEX(products!$A$1:$G$49,MATCH(orders!$D38,products!$A$1:$A$49,0),MATCH(orders!K$1,products!$A$1:$G$1,0))</f>
        <v>0.2</v>
      </c>
      <c r="L38" s="7">
        <f>INDEX(products!$A$1:$G$49,MATCH(orders!$D38,products!$A$1:$A$49,0),MATCH(orders!L$1,products!$A$1:$G$1,0))</f>
        <v>4.3650000000000002</v>
      </c>
      <c r="M38" s="7">
        <f t="shared" si="0"/>
        <v>8.73</v>
      </c>
      <c r="N38" t="str">
        <f t="shared" si="1"/>
        <v>Liberica</v>
      </c>
      <c r="O38" t="str">
        <f t="shared" si="2"/>
        <v>Medium</v>
      </c>
      <c r="P38" t="str">
        <f>_xlfn.XLOOKUP(Table1[[#This Row],[Customer ID]],customers!$A$1:$A$1001,customers!$I$1:$I$1001,,0)</f>
        <v>No</v>
      </c>
    </row>
    <row r="39" spans="1:16" x14ac:dyDescent="0.2">
      <c r="A39" s="2" t="s">
        <v>699</v>
      </c>
      <c r="B39" s="3">
        <v>43580</v>
      </c>
      <c r="C39" s="2" t="s">
        <v>700</v>
      </c>
      <c r="D39" t="s">
        <v>6161</v>
      </c>
      <c r="E39" s="2">
        <v>3</v>
      </c>
      <c r="F39" s="2" t="str">
        <f>_xlfn.XLOOKUP(C39,customers!$A38:$A1038,customers!$B38:$B1038,,0)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5">
        <f>INDEX(products!$A$1:$G$49,MATCH(orders!$D39,products!$A$1:$A$49,0),MATCH(orders!K$1,products!$A$1:$G$1,0))</f>
        <v>0.5</v>
      </c>
      <c r="L39" s="7">
        <f>INDEX(products!$A$1:$G$49,MATCH(orders!$D39,products!$A$1:$A$49,0),MATCH(orders!L$1,products!$A$1:$G$1,0))</f>
        <v>9.51</v>
      </c>
      <c r="M39" s="7">
        <f t="shared" si="0"/>
        <v>28.53</v>
      </c>
      <c r="N39" t="str">
        <f t="shared" si="1"/>
        <v>Liberica</v>
      </c>
      <c r="O39" t="str">
        <f t="shared" si="2"/>
        <v>Light</v>
      </c>
      <c r="P39" t="str">
        <f>_xlfn.XLOOKUP(Table1[[#This Row],[Customer ID]],customers!$A$1:$A$1001,customers!$I$1:$I$1001,,0)</f>
        <v>No</v>
      </c>
    </row>
    <row r="40" spans="1:16" x14ac:dyDescent="0.2">
      <c r="A40" s="2" t="s">
        <v>705</v>
      </c>
      <c r="B40" s="3">
        <v>43946</v>
      </c>
      <c r="C40" s="2" t="s">
        <v>706</v>
      </c>
      <c r="D40" t="s">
        <v>6151</v>
      </c>
      <c r="E40" s="2">
        <v>5</v>
      </c>
      <c r="F40" s="2" t="str">
        <f>_xlfn.XLOOKUP(C40,customers!$A39:$A1039,customers!$B39:$B1039,,0)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5">
        <f>INDEX(products!$A$1:$G$49,MATCH(orders!$D40,products!$A$1:$A$49,0),MATCH(orders!K$1,products!$A$1:$G$1,0))</f>
        <v>2.5</v>
      </c>
      <c r="L40" s="7">
        <f>INDEX(products!$A$1:$G$49,MATCH(orders!$D40,products!$A$1:$A$49,0),MATCH(orders!L$1,products!$A$1:$G$1,0))</f>
        <v>22.884999999999998</v>
      </c>
      <c r="M40" s="7">
        <f t="shared" si="0"/>
        <v>114.42499999999998</v>
      </c>
      <c r="N40" t="str">
        <f t="shared" si="1"/>
        <v>Robusta</v>
      </c>
      <c r="O40" t="str">
        <f t="shared" si="2"/>
        <v>Medium</v>
      </c>
      <c r="P40" t="str">
        <f>_xlfn.XLOOKUP(Table1[[#This Row],[Customer ID]],customers!$A$1:$A$1001,customers!$I$1:$I$1001,,0)</f>
        <v>No</v>
      </c>
    </row>
    <row r="41" spans="1:16" x14ac:dyDescent="0.2">
      <c r="A41" s="2" t="s">
        <v>711</v>
      </c>
      <c r="B41" s="3">
        <v>44524</v>
      </c>
      <c r="C41" s="2" t="s">
        <v>712</v>
      </c>
      <c r="D41" t="s">
        <v>6138</v>
      </c>
      <c r="E41" s="2">
        <v>6</v>
      </c>
      <c r="F41" s="2" t="str">
        <f>_xlfn.XLOOKUP(C41,customers!$A40:$A1040,customers!$B40:$B1040,,0)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5">
        <f>INDEX(products!$A$1:$G$49,MATCH(orders!$D41,products!$A$1:$A$49,0),MATCH(orders!K$1,products!$A$1:$G$1,0))</f>
        <v>1</v>
      </c>
      <c r="L41" s="7">
        <f>INDEX(products!$A$1:$G$49,MATCH(orders!$D41,products!$A$1:$A$49,0),MATCH(orders!L$1,products!$A$1:$G$1,0))</f>
        <v>9.9499999999999993</v>
      </c>
      <c r="M41" s="7">
        <f t="shared" si="0"/>
        <v>59.699999999999996</v>
      </c>
      <c r="N41" t="str">
        <f t="shared" si="1"/>
        <v>Robusta</v>
      </c>
      <c r="O41" t="str">
        <f t="shared" si="2"/>
        <v>Medium</v>
      </c>
      <c r="P41" t="str">
        <f>_xlfn.XLOOKUP(Table1[[#This Row],[Customer ID]],customers!$A$1:$A$1001,customers!$I$1:$I$1001,,0)</f>
        <v>Yes</v>
      </c>
    </row>
    <row r="42" spans="1:16" x14ac:dyDescent="0.2">
      <c r="A42" s="2" t="s">
        <v>715</v>
      </c>
      <c r="B42" s="3">
        <v>44305</v>
      </c>
      <c r="C42" s="2" t="s">
        <v>716</v>
      </c>
      <c r="D42" t="s">
        <v>6162</v>
      </c>
      <c r="E42" s="2">
        <v>3</v>
      </c>
      <c r="F42" s="2" t="str">
        <f>_xlfn.XLOOKUP(C42,customers!$A41:$A1041,customers!$B41:$B1041,,0)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5">
        <f>INDEX(products!$A$1:$G$49,MATCH(orders!$D42,products!$A$1:$A$49,0),MATCH(orders!K$1,products!$A$1:$G$1,0))</f>
        <v>1</v>
      </c>
      <c r="L42" s="7">
        <f>INDEX(products!$A$1:$G$49,MATCH(orders!$D42,products!$A$1:$A$49,0),MATCH(orders!L$1,products!$A$1:$G$1,0))</f>
        <v>14.55</v>
      </c>
      <c r="M42" s="7">
        <f t="shared" si="0"/>
        <v>43.650000000000006</v>
      </c>
      <c r="N42" t="str">
        <f t="shared" si="1"/>
        <v>Liberica</v>
      </c>
      <c r="O42" t="str">
        <f t="shared" si="2"/>
        <v>Medium</v>
      </c>
      <c r="P42" t="str">
        <f>_xlfn.XLOOKUP(Table1[[#This Row],[Customer ID]],customers!$A$1:$A$1001,customers!$I$1:$I$1001,,0)</f>
        <v>No</v>
      </c>
    </row>
    <row r="43" spans="1:16" x14ac:dyDescent="0.2">
      <c r="A43" s="2" t="s">
        <v>720</v>
      </c>
      <c r="B43" s="3">
        <v>44749</v>
      </c>
      <c r="C43" s="2" t="s">
        <v>721</v>
      </c>
      <c r="D43" t="s">
        <v>6153</v>
      </c>
      <c r="E43" s="2">
        <v>2</v>
      </c>
      <c r="F43" s="2" t="str">
        <f>_xlfn.XLOOKUP(C43,customers!$A42:$A1042,customers!$B42:$B1042,,0)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5">
        <f>INDEX(products!$A$1:$G$49,MATCH(orders!$D43,products!$A$1:$A$49,0),MATCH(orders!K$1,products!$A$1:$G$1,0))</f>
        <v>0.2</v>
      </c>
      <c r="L43" s="7">
        <f>INDEX(products!$A$1:$G$49,MATCH(orders!$D43,products!$A$1:$A$49,0),MATCH(orders!L$1,products!$A$1:$G$1,0))</f>
        <v>3.645</v>
      </c>
      <c r="M43" s="7">
        <f t="shared" si="0"/>
        <v>7.29</v>
      </c>
      <c r="N43" t="str">
        <f t="shared" si="1"/>
        <v>Excelsa</v>
      </c>
      <c r="O43" t="str">
        <f t="shared" si="2"/>
        <v>Dark</v>
      </c>
      <c r="P43" t="str">
        <f>_xlfn.XLOOKUP(Table1[[#This Row],[Customer ID]],customers!$A$1:$A$1001,customers!$I$1:$I$1001,,0)</f>
        <v>Yes</v>
      </c>
    </row>
    <row r="44" spans="1:16" x14ac:dyDescent="0.2">
      <c r="A44" s="2" t="s">
        <v>726</v>
      </c>
      <c r="B44" s="3">
        <v>43607</v>
      </c>
      <c r="C44" s="2" t="s">
        <v>727</v>
      </c>
      <c r="D44" t="s">
        <v>6163</v>
      </c>
      <c r="E44" s="2">
        <v>3</v>
      </c>
      <c r="F44" s="2" t="str">
        <f>_xlfn.XLOOKUP(C44,customers!$A43:$A1043,customers!$B43:$B1043,,0)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5">
        <f>INDEX(products!$A$1:$G$49,MATCH(orders!$D44,products!$A$1:$A$49,0),MATCH(orders!K$1,products!$A$1:$G$1,0))</f>
        <v>0.2</v>
      </c>
      <c r="L44" s="7">
        <f>INDEX(products!$A$1:$G$49,MATCH(orders!$D44,products!$A$1:$A$49,0),MATCH(orders!L$1,products!$A$1:$G$1,0))</f>
        <v>2.6849999999999996</v>
      </c>
      <c r="M44" s="7">
        <f t="shared" si="0"/>
        <v>8.0549999999999997</v>
      </c>
      <c r="N44" t="str">
        <f t="shared" si="1"/>
        <v>Robusta</v>
      </c>
      <c r="O44" t="str">
        <f t="shared" si="2"/>
        <v>Dark</v>
      </c>
      <c r="P44" t="str">
        <f>_xlfn.XLOOKUP(Table1[[#This Row],[Customer ID]],customers!$A$1:$A$1001,customers!$I$1:$I$1001,,0)</f>
        <v>Yes</v>
      </c>
    </row>
    <row r="45" spans="1:16" x14ac:dyDescent="0.2">
      <c r="A45" s="2" t="s">
        <v>733</v>
      </c>
      <c r="B45" s="3">
        <v>44473</v>
      </c>
      <c r="C45" s="2" t="s">
        <v>734</v>
      </c>
      <c r="D45" t="s">
        <v>6164</v>
      </c>
      <c r="E45" s="2">
        <v>2</v>
      </c>
      <c r="F45" s="2" t="str">
        <f>_xlfn.XLOOKUP(C45,customers!$A44:$A1044,customers!$B44:$B1044,,0)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5">
        <f>INDEX(products!$A$1:$G$49,MATCH(orders!$D45,products!$A$1:$A$49,0),MATCH(orders!K$1,products!$A$1:$G$1,0))</f>
        <v>2.5</v>
      </c>
      <c r="L45" s="7">
        <f>INDEX(products!$A$1:$G$49,MATCH(orders!$D45,products!$A$1:$A$49,0),MATCH(orders!L$1,products!$A$1:$G$1,0))</f>
        <v>36.454999999999998</v>
      </c>
      <c r="M45" s="7">
        <f t="shared" si="0"/>
        <v>72.91</v>
      </c>
      <c r="N45" t="str">
        <f t="shared" si="1"/>
        <v>Liberica</v>
      </c>
      <c r="O45" t="str">
        <f t="shared" si="2"/>
        <v>Light</v>
      </c>
      <c r="P45" t="str">
        <f>_xlfn.XLOOKUP(Table1[[#This Row],[Customer ID]],customers!$A$1:$A$1001,customers!$I$1:$I$1001,,0)</f>
        <v>No</v>
      </c>
    </row>
    <row r="46" spans="1:16" x14ac:dyDescent="0.2">
      <c r="A46" s="2" t="s">
        <v>738</v>
      </c>
      <c r="B46" s="3">
        <v>43932</v>
      </c>
      <c r="C46" s="2" t="s">
        <v>739</v>
      </c>
      <c r="D46" t="s">
        <v>6139</v>
      </c>
      <c r="E46" s="2">
        <v>2</v>
      </c>
      <c r="F46" s="2" t="str">
        <f>_xlfn.XLOOKUP(C46,customers!$A45:$A1045,customers!$B45:$B1045,,0)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5">
        <f>INDEX(products!$A$1:$G$49,MATCH(orders!$D46,products!$A$1:$A$49,0),MATCH(orders!K$1,products!$A$1:$G$1,0))</f>
        <v>0.5</v>
      </c>
      <c r="L46" s="7">
        <f>INDEX(products!$A$1:$G$49,MATCH(orders!$D46,products!$A$1:$A$49,0),MATCH(orders!L$1,products!$A$1:$G$1,0))</f>
        <v>8.25</v>
      </c>
      <c r="M46" s="7">
        <f t="shared" si="0"/>
        <v>16.5</v>
      </c>
      <c r="N46" t="str">
        <f t="shared" si="1"/>
        <v>Excelsa</v>
      </c>
      <c r="O46" t="str">
        <f t="shared" si="2"/>
        <v>Medium</v>
      </c>
      <c r="P46" t="str">
        <f>_xlfn.XLOOKUP(Table1[[#This Row],[Customer ID]],customers!$A$1:$A$1001,customers!$I$1:$I$1001,,0)</f>
        <v>Yes</v>
      </c>
    </row>
    <row r="47" spans="1:16" x14ac:dyDescent="0.2">
      <c r="A47" s="2" t="s">
        <v>744</v>
      </c>
      <c r="B47" s="3">
        <v>44592</v>
      </c>
      <c r="C47" s="2" t="s">
        <v>745</v>
      </c>
      <c r="D47" t="s">
        <v>6165</v>
      </c>
      <c r="E47" s="2">
        <v>6</v>
      </c>
      <c r="F47" s="2" t="str">
        <f>_xlfn.XLOOKUP(C47,customers!$A46:$A1046,customers!$B46:$B1046,,0)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5">
        <f>INDEX(products!$A$1:$G$49,MATCH(orders!$D47,products!$A$1:$A$49,0),MATCH(orders!K$1,products!$A$1:$G$1,0))</f>
        <v>2.5</v>
      </c>
      <c r="L47" s="7">
        <f>INDEX(products!$A$1:$G$49,MATCH(orders!$D47,products!$A$1:$A$49,0),MATCH(orders!L$1,products!$A$1:$G$1,0))</f>
        <v>29.784999999999997</v>
      </c>
      <c r="M47" s="7">
        <f t="shared" si="0"/>
        <v>178.70999999999998</v>
      </c>
      <c r="N47" t="str">
        <f t="shared" si="1"/>
        <v>Liberica</v>
      </c>
      <c r="O47" t="str">
        <f t="shared" si="2"/>
        <v>Dark</v>
      </c>
      <c r="P47" t="str">
        <f>_xlfn.XLOOKUP(Table1[[#This Row],[Customer ID]],customers!$A$1:$A$1001,customers!$I$1:$I$1001,,0)</f>
        <v>No</v>
      </c>
    </row>
    <row r="48" spans="1:16" x14ac:dyDescent="0.2">
      <c r="A48" s="2" t="s">
        <v>750</v>
      </c>
      <c r="B48" s="3">
        <v>43776</v>
      </c>
      <c r="C48" s="2" t="s">
        <v>751</v>
      </c>
      <c r="D48" t="s">
        <v>6166</v>
      </c>
      <c r="E48" s="2">
        <v>2</v>
      </c>
      <c r="F48" s="2" t="str">
        <f>_xlfn.XLOOKUP(C48,customers!$A47:$A1047,customers!$B47:$B1047,,0)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5">
        <f>INDEX(products!$A$1:$G$49,MATCH(orders!$D48,products!$A$1:$A$49,0),MATCH(orders!K$1,products!$A$1:$G$1,0))</f>
        <v>2.5</v>
      </c>
      <c r="L48" s="7">
        <f>INDEX(products!$A$1:$G$49,MATCH(orders!$D48,products!$A$1:$A$49,0),MATCH(orders!L$1,products!$A$1:$G$1,0))</f>
        <v>31.624999999999996</v>
      </c>
      <c r="M48" s="7">
        <f t="shared" si="0"/>
        <v>63.249999999999993</v>
      </c>
      <c r="N48" t="str">
        <f t="shared" si="1"/>
        <v>Excelsa</v>
      </c>
      <c r="O48" t="str">
        <f t="shared" si="2"/>
        <v>Medium</v>
      </c>
      <c r="P48" t="str">
        <f>_xlfn.XLOOKUP(Table1[[#This Row],[Customer ID]],customers!$A$1:$A$1001,customers!$I$1:$I$1001,,0)</f>
        <v>Yes</v>
      </c>
    </row>
    <row r="49" spans="1:16" x14ac:dyDescent="0.2">
      <c r="A49" s="2" t="s">
        <v>755</v>
      </c>
      <c r="B49" s="3">
        <v>43644</v>
      </c>
      <c r="C49" s="2" t="s">
        <v>756</v>
      </c>
      <c r="D49" t="s">
        <v>6167</v>
      </c>
      <c r="E49" s="2">
        <v>2</v>
      </c>
      <c r="F49" s="2" t="str">
        <f>_xlfn.XLOOKUP(C49,customers!$A48:$A1048,customers!$B48:$B1048,,0)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5">
        <f>INDEX(products!$A$1:$G$49,MATCH(orders!$D49,products!$A$1:$A$49,0),MATCH(orders!K$1,products!$A$1:$G$1,0))</f>
        <v>0.2</v>
      </c>
      <c r="L49" s="7">
        <f>INDEX(products!$A$1:$G$49,MATCH(orders!$D49,products!$A$1:$A$49,0),MATCH(orders!L$1,products!$A$1:$G$1,0))</f>
        <v>3.8849999999999998</v>
      </c>
      <c r="M49" s="7">
        <f t="shared" si="0"/>
        <v>7.77</v>
      </c>
      <c r="N49" t="str">
        <f t="shared" si="1"/>
        <v>Arabica</v>
      </c>
      <c r="O49" t="str">
        <f t="shared" si="2"/>
        <v>Light</v>
      </c>
      <c r="P49" t="str">
        <f>_xlfn.XLOOKUP(Table1[[#This Row],[Customer ID]],customers!$A$1:$A$1001,customers!$I$1:$I$1001,,0)</f>
        <v>Yes</v>
      </c>
    </row>
    <row r="50" spans="1:16" x14ac:dyDescent="0.2">
      <c r="A50" s="2" t="s">
        <v>761</v>
      </c>
      <c r="B50" s="3">
        <v>44085</v>
      </c>
      <c r="C50" s="2" t="s">
        <v>762</v>
      </c>
      <c r="D50" t="s">
        <v>6168</v>
      </c>
      <c r="E50" s="2">
        <v>4</v>
      </c>
      <c r="F50" s="2" t="str">
        <f>_xlfn.XLOOKUP(C50,customers!$A49:$A1049,customers!$B49:$B1049,,0)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5">
        <f>INDEX(products!$A$1:$G$49,MATCH(orders!$D50,products!$A$1:$A$49,0),MATCH(orders!K$1,products!$A$1:$G$1,0))</f>
        <v>2.5</v>
      </c>
      <c r="L50" s="7">
        <f>INDEX(products!$A$1:$G$49,MATCH(orders!$D50,products!$A$1:$A$49,0),MATCH(orders!L$1,products!$A$1:$G$1,0))</f>
        <v>22.884999999999998</v>
      </c>
      <c r="M50" s="7">
        <f t="shared" si="0"/>
        <v>91.539999999999992</v>
      </c>
      <c r="N50" t="str">
        <f t="shared" si="1"/>
        <v>Arabica</v>
      </c>
      <c r="O50" t="str">
        <f t="shared" si="2"/>
        <v>Dark</v>
      </c>
      <c r="P50" t="str">
        <f>_xlfn.XLOOKUP(Table1[[#This Row],[Customer ID]],customers!$A$1:$A$1001,customers!$I$1:$I$1001,,0)</f>
        <v>No</v>
      </c>
    </row>
    <row r="51" spans="1:16" x14ac:dyDescent="0.2">
      <c r="A51" s="2" t="s">
        <v>766</v>
      </c>
      <c r="B51" s="3">
        <v>44790</v>
      </c>
      <c r="C51" s="2" t="s">
        <v>767</v>
      </c>
      <c r="D51" t="s">
        <v>6140</v>
      </c>
      <c r="E51" s="2">
        <v>3</v>
      </c>
      <c r="F51" s="2" t="str">
        <f>_xlfn.XLOOKUP(C51,customers!$A50:$A1050,customers!$B50:$B1050,,0)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5">
        <f>INDEX(products!$A$1:$G$49,MATCH(orders!$D51,products!$A$1:$A$49,0),MATCH(orders!K$1,products!$A$1:$G$1,0))</f>
        <v>1</v>
      </c>
      <c r="L51" s="7">
        <f>INDEX(products!$A$1:$G$49,MATCH(orders!$D51,products!$A$1:$A$49,0),MATCH(orders!L$1,products!$A$1:$G$1,0))</f>
        <v>12.95</v>
      </c>
      <c r="M51" s="7">
        <f t="shared" si="0"/>
        <v>38.849999999999994</v>
      </c>
      <c r="N51" t="str">
        <f t="shared" si="1"/>
        <v>Arabica</v>
      </c>
      <c r="O51" t="str">
        <f t="shared" si="2"/>
        <v>Light</v>
      </c>
      <c r="P51" t="str">
        <f>_xlfn.XLOOKUP(Table1[[#This Row],[Customer ID]],customers!$A$1:$A$1001,customers!$I$1:$I$1001,,0)</f>
        <v>No</v>
      </c>
    </row>
    <row r="52" spans="1:16" x14ac:dyDescent="0.2">
      <c r="A52" s="2" t="s">
        <v>772</v>
      </c>
      <c r="B52" s="3">
        <v>44792</v>
      </c>
      <c r="C52" s="2" t="s">
        <v>773</v>
      </c>
      <c r="D52" t="s">
        <v>6169</v>
      </c>
      <c r="E52" s="2">
        <v>2</v>
      </c>
      <c r="F52" s="2" t="str">
        <f>_xlfn.XLOOKUP(C52,customers!$A51:$A1051,customers!$B51:$B1051,,0)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5">
        <f>INDEX(products!$A$1:$G$49,MATCH(orders!$D52,products!$A$1:$A$49,0),MATCH(orders!K$1,products!$A$1:$G$1,0))</f>
        <v>0.5</v>
      </c>
      <c r="L52" s="7">
        <f>INDEX(products!$A$1:$G$49,MATCH(orders!$D52,products!$A$1:$A$49,0),MATCH(orders!L$1,products!$A$1:$G$1,0))</f>
        <v>7.77</v>
      </c>
      <c r="M52" s="7">
        <f t="shared" si="0"/>
        <v>15.54</v>
      </c>
      <c r="N52" t="str">
        <f t="shared" si="1"/>
        <v>Liberica</v>
      </c>
      <c r="O52" t="str">
        <f t="shared" si="2"/>
        <v>Dark</v>
      </c>
      <c r="P52" t="str">
        <f>_xlfn.XLOOKUP(Table1[[#This Row],[Customer ID]],customers!$A$1:$A$1001,customers!$I$1:$I$1001,,0)</f>
        <v>No</v>
      </c>
    </row>
    <row r="53" spans="1:16" x14ac:dyDescent="0.2">
      <c r="A53" s="2" t="s">
        <v>778</v>
      </c>
      <c r="B53" s="3">
        <v>43600</v>
      </c>
      <c r="C53" s="2" t="s">
        <v>779</v>
      </c>
      <c r="D53" t="s">
        <v>6164</v>
      </c>
      <c r="E53" s="2">
        <v>4</v>
      </c>
      <c r="F53" s="2" t="str">
        <f>_xlfn.XLOOKUP(C53,customers!$A52:$A1052,customers!$B52:$B1052,,0)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5">
        <f>INDEX(products!$A$1:$G$49,MATCH(orders!$D53,products!$A$1:$A$49,0),MATCH(orders!K$1,products!$A$1:$G$1,0))</f>
        <v>2.5</v>
      </c>
      <c r="L53" s="7">
        <f>INDEX(products!$A$1:$G$49,MATCH(orders!$D53,products!$A$1:$A$49,0),MATCH(orders!L$1,products!$A$1:$G$1,0))</f>
        <v>36.454999999999998</v>
      </c>
      <c r="M53" s="7">
        <f t="shared" si="0"/>
        <v>145.82</v>
      </c>
      <c r="N53" t="str">
        <f t="shared" si="1"/>
        <v>Liberica</v>
      </c>
      <c r="O53" t="str">
        <f t="shared" si="2"/>
        <v>Light</v>
      </c>
      <c r="P53" t="str">
        <f>_xlfn.XLOOKUP(Table1[[#This Row],[Customer ID]],customers!$A$1:$A$1001,customers!$I$1:$I$1001,,0)</f>
        <v>Yes</v>
      </c>
    </row>
    <row r="54" spans="1:16" x14ac:dyDescent="0.2">
      <c r="A54" s="2" t="s">
        <v>784</v>
      </c>
      <c r="B54" s="3">
        <v>43719</v>
      </c>
      <c r="C54" s="2" t="s">
        <v>785</v>
      </c>
      <c r="D54" t="s">
        <v>6146</v>
      </c>
      <c r="E54" s="2">
        <v>5</v>
      </c>
      <c r="F54" s="2" t="str">
        <f>_xlfn.XLOOKUP(C54,customers!$A53:$A1053,customers!$B53:$B1053,,0)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5">
        <f>INDEX(products!$A$1:$G$49,MATCH(orders!$D54,products!$A$1:$A$49,0),MATCH(orders!K$1,products!$A$1:$G$1,0))</f>
        <v>0.5</v>
      </c>
      <c r="L54" s="7">
        <f>INDEX(products!$A$1:$G$49,MATCH(orders!$D54,products!$A$1:$A$49,0),MATCH(orders!L$1,products!$A$1:$G$1,0))</f>
        <v>5.97</v>
      </c>
      <c r="M54" s="7">
        <f t="shared" si="0"/>
        <v>29.849999999999998</v>
      </c>
      <c r="N54" t="str">
        <f t="shared" si="1"/>
        <v>Robusta</v>
      </c>
      <c r="O54" t="str">
        <f t="shared" si="2"/>
        <v>Medium</v>
      </c>
      <c r="P54" t="str">
        <f>_xlfn.XLOOKUP(Table1[[#This Row],[Customer ID]],customers!$A$1:$A$1001,customers!$I$1:$I$1001,,0)</f>
        <v>No</v>
      </c>
    </row>
    <row r="55" spans="1:16" x14ac:dyDescent="0.2">
      <c r="A55" s="2" t="s">
        <v>784</v>
      </c>
      <c r="B55" s="3">
        <v>43719</v>
      </c>
      <c r="C55" s="2" t="s">
        <v>785</v>
      </c>
      <c r="D55" t="s">
        <v>6164</v>
      </c>
      <c r="E55" s="2">
        <v>2</v>
      </c>
      <c r="F55" s="2" t="str">
        <f>_xlfn.XLOOKUP(C55,customers!$A54:$A1054,customers!$B54:$B1054,,0)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5">
        <f>INDEX(products!$A$1:$G$49,MATCH(orders!$D55,products!$A$1:$A$49,0),MATCH(orders!K$1,products!$A$1:$G$1,0))</f>
        <v>2.5</v>
      </c>
      <c r="L55" s="7">
        <f>INDEX(products!$A$1:$G$49,MATCH(orders!$D55,products!$A$1:$A$49,0),MATCH(orders!L$1,products!$A$1:$G$1,0))</f>
        <v>36.454999999999998</v>
      </c>
      <c r="M55" s="7">
        <f t="shared" si="0"/>
        <v>72.91</v>
      </c>
      <c r="N55" t="str">
        <f t="shared" si="1"/>
        <v>Liberica</v>
      </c>
      <c r="O55" t="str">
        <f t="shared" si="2"/>
        <v>Light</v>
      </c>
      <c r="P55" t="str">
        <f>_xlfn.XLOOKUP(Table1[[#This Row],[Customer ID]],customers!$A$1:$A$1001,customers!$I$1:$I$1001,,0)</f>
        <v>No</v>
      </c>
    </row>
    <row r="56" spans="1:16" x14ac:dyDescent="0.2">
      <c r="A56" s="2" t="s">
        <v>794</v>
      </c>
      <c r="B56" s="3">
        <v>44271</v>
      </c>
      <c r="C56" s="2" t="s">
        <v>795</v>
      </c>
      <c r="D56" t="s">
        <v>6162</v>
      </c>
      <c r="E56" s="2">
        <v>5</v>
      </c>
      <c r="F56" s="2" t="str">
        <f>_xlfn.XLOOKUP(C56,customers!$A55:$A1055,customers!$B55:$B1055,,0)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5">
        <f>INDEX(products!$A$1:$G$49,MATCH(orders!$D56,products!$A$1:$A$49,0),MATCH(orders!K$1,products!$A$1:$G$1,0))</f>
        <v>1</v>
      </c>
      <c r="L56" s="7">
        <f>INDEX(products!$A$1:$G$49,MATCH(orders!$D56,products!$A$1:$A$49,0),MATCH(orders!L$1,products!$A$1:$G$1,0))</f>
        <v>14.55</v>
      </c>
      <c r="M56" s="7">
        <f t="shared" si="0"/>
        <v>72.75</v>
      </c>
      <c r="N56" t="str">
        <f t="shared" si="1"/>
        <v>Liberica</v>
      </c>
      <c r="O56" t="str">
        <f t="shared" si="2"/>
        <v>Medium</v>
      </c>
      <c r="P56" t="str">
        <f>_xlfn.XLOOKUP(Table1[[#This Row],[Customer ID]],customers!$A$1:$A$1001,customers!$I$1:$I$1001,,0)</f>
        <v>No</v>
      </c>
    </row>
    <row r="57" spans="1:16" x14ac:dyDescent="0.2">
      <c r="A57" s="2" t="s">
        <v>800</v>
      </c>
      <c r="B57" s="3">
        <v>44168</v>
      </c>
      <c r="C57" s="2" t="s">
        <v>801</v>
      </c>
      <c r="D57" t="s">
        <v>6170</v>
      </c>
      <c r="E57" s="2">
        <v>3</v>
      </c>
      <c r="F57" s="2" t="str">
        <f>_xlfn.XLOOKUP(C57,customers!$A56:$A1056,customers!$B56:$B1056,,0)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5">
        <f>INDEX(products!$A$1:$G$49,MATCH(orders!$D57,products!$A$1:$A$49,0),MATCH(orders!K$1,products!$A$1:$G$1,0))</f>
        <v>1</v>
      </c>
      <c r="L57" s="7">
        <f>INDEX(products!$A$1:$G$49,MATCH(orders!$D57,products!$A$1:$A$49,0),MATCH(orders!L$1,products!$A$1:$G$1,0))</f>
        <v>15.85</v>
      </c>
      <c r="M57" s="7">
        <f t="shared" si="0"/>
        <v>47.55</v>
      </c>
      <c r="N57" t="str">
        <f t="shared" si="1"/>
        <v>Liberica</v>
      </c>
      <c r="O57" t="str">
        <f t="shared" si="2"/>
        <v>Light</v>
      </c>
      <c r="P57" t="str">
        <f>_xlfn.XLOOKUP(Table1[[#This Row],[Customer ID]],customers!$A$1:$A$1001,customers!$I$1:$I$1001,,0)</f>
        <v>No</v>
      </c>
    </row>
    <row r="58" spans="1:16" x14ac:dyDescent="0.2">
      <c r="A58" s="2" t="s">
        <v>805</v>
      </c>
      <c r="B58" s="3">
        <v>43857</v>
      </c>
      <c r="C58" s="2" t="s">
        <v>806</v>
      </c>
      <c r="D58" t="s">
        <v>6153</v>
      </c>
      <c r="E58" s="2">
        <v>3</v>
      </c>
      <c r="F58" s="2" t="str">
        <f>_xlfn.XLOOKUP(C58,customers!$A57:$A1057,customers!$B57:$B1057,,0)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5">
        <f>INDEX(products!$A$1:$G$49,MATCH(orders!$D58,products!$A$1:$A$49,0),MATCH(orders!K$1,products!$A$1:$G$1,0))</f>
        <v>0.2</v>
      </c>
      <c r="L58" s="7">
        <f>INDEX(products!$A$1:$G$49,MATCH(orders!$D58,products!$A$1:$A$49,0),MATCH(orders!L$1,products!$A$1:$G$1,0))</f>
        <v>3.645</v>
      </c>
      <c r="M58" s="7">
        <f t="shared" si="0"/>
        <v>10.935</v>
      </c>
      <c r="N58" t="str">
        <f t="shared" si="1"/>
        <v>Excelsa</v>
      </c>
      <c r="O58" t="str">
        <f t="shared" si="2"/>
        <v>Dark</v>
      </c>
      <c r="P58" t="str">
        <f>_xlfn.XLOOKUP(Table1[[#This Row],[Customer ID]],customers!$A$1:$A$1001,customers!$I$1:$I$1001,,0)</f>
        <v>Yes</v>
      </c>
    </row>
    <row r="59" spans="1:16" x14ac:dyDescent="0.2">
      <c r="A59" s="2" t="s">
        <v>811</v>
      </c>
      <c r="B59" s="3">
        <v>44759</v>
      </c>
      <c r="C59" s="2" t="s">
        <v>812</v>
      </c>
      <c r="D59" t="s">
        <v>6171</v>
      </c>
      <c r="E59" s="2">
        <v>4</v>
      </c>
      <c r="F59" s="2" t="str">
        <f>_xlfn.XLOOKUP(C59,customers!$A58:$A1058,customers!$B58:$B1058,,0)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5">
        <f>INDEX(products!$A$1:$G$49,MATCH(orders!$D59,products!$A$1:$A$49,0),MATCH(orders!K$1,products!$A$1:$G$1,0))</f>
        <v>1</v>
      </c>
      <c r="L59" s="7">
        <f>INDEX(products!$A$1:$G$49,MATCH(orders!$D59,products!$A$1:$A$49,0),MATCH(orders!L$1,products!$A$1:$G$1,0))</f>
        <v>14.85</v>
      </c>
      <c r="M59" s="7">
        <f t="shared" si="0"/>
        <v>59.4</v>
      </c>
      <c r="N59" t="str">
        <f t="shared" si="1"/>
        <v>Excelsa</v>
      </c>
      <c r="O59" t="str">
        <f t="shared" si="2"/>
        <v>Light</v>
      </c>
      <c r="P59" t="str">
        <f>_xlfn.XLOOKUP(Table1[[#This Row],[Customer ID]],customers!$A$1:$A$1001,customers!$I$1:$I$1001,,0)</f>
        <v>No</v>
      </c>
    </row>
    <row r="60" spans="1:16" x14ac:dyDescent="0.2">
      <c r="A60" s="2" t="s">
        <v>817</v>
      </c>
      <c r="B60" s="3">
        <v>44624</v>
      </c>
      <c r="C60" s="2" t="s">
        <v>818</v>
      </c>
      <c r="D60" t="s">
        <v>6165</v>
      </c>
      <c r="E60" s="2">
        <v>3</v>
      </c>
      <c r="F60" s="2" t="str">
        <f>_xlfn.XLOOKUP(C60,customers!$A59:$A1059,customers!$B59:$B1059,,0)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5">
        <f>INDEX(products!$A$1:$G$49,MATCH(orders!$D60,products!$A$1:$A$49,0),MATCH(orders!K$1,products!$A$1:$G$1,0))</f>
        <v>2.5</v>
      </c>
      <c r="L60" s="7">
        <f>INDEX(products!$A$1:$G$49,MATCH(orders!$D60,products!$A$1:$A$49,0),MATCH(orders!L$1,products!$A$1:$G$1,0))</f>
        <v>29.784999999999997</v>
      </c>
      <c r="M60" s="7">
        <f t="shared" si="0"/>
        <v>89.35499999999999</v>
      </c>
      <c r="N60" t="str">
        <f t="shared" si="1"/>
        <v>Liberica</v>
      </c>
      <c r="O60" t="str">
        <f t="shared" si="2"/>
        <v>Dark</v>
      </c>
      <c r="P60" t="str">
        <f>_xlfn.XLOOKUP(Table1[[#This Row],[Customer ID]],customers!$A$1:$A$1001,customers!$I$1:$I$1001,,0)</f>
        <v>Yes</v>
      </c>
    </row>
    <row r="61" spans="1:16" x14ac:dyDescent="0.2">
      <c r="A61" s="2" t="s">
        <v>822</v>
      </c>
      <c r="B61" s="3">
        <v>44537</v>
      </c>
      <c r="C61" s="2" t="s">
        <v>823</v>
      </c>
      <c r="D61" t="s">
        <v>6160</v>
      </c>
      <c r="E61" s="2">
        <v>3</v>
      </c>
      <c r="F61" s="2" t="str">
        <f>_xlfn.XLOOKUP(C61,customers!$A60:$A1060,customers!$B60:$B1060,,0)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5">
        <f>INDEX(products!$A$1:$G$49,MATCH(orders!$D61,products!$A$1:$A$49,0),MATCH(orders!K$1,products!$A$1:$G$1,0))</f>
        <v>0.5</v>
      </c>
      <c r="L61" s="7">
        <f>INDEX(products!$A$1:$G$49,MATCH(orders!$D61,products!$A$1:$A$49,0),MATCH(orders!L$1,products!$A$1:$G$1,0))</f>
        <v>8.73</v>
      </c>
      <c r="M61" s="7">
        <f t="shared" si="0"/>
        <v>26.19</v>
      </c>
      <c r="N61" t="str">
        <f t="shared" si="1"/>
        <v>Liberica</v>
      </c>
      <c r="O61" t="str">
        <f t="shared" si="2"/>
        <v>Medium</v>
      </c>
      <c r="P61" t="str">
        <f>_xlfn.XLOOKUP(Table1[[#This Row],[Customer ID]],customers!$A$1:$A$1001,customers!$I$1:$I$1001,,0)</f>
        <v>Yes</v>
      </c>
    </row>
    <row r="62" spans="1:16" x14ac:dyDescent="0.2">
      <c r="A62" s="2" t="s">
        <v>827</v>
      </c>
      <c r="B62" s="3">
        <v>44252</v>
      </c>
      <c r="C62" s="2" t="s">
        <v>828</v>
      </c>
      <c r="D62" t="s">
        <v>6168</v>
      </c>
      <c r="E62" s="2">
        <v>5</v>
      </c>
      <c r="F62" s="2" t="str">
        <f>_xlfn.XLOOKUP(C62,customers!$A61:$A1061,customers!$B61:$B1061,,0)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5">
        <f>INDEX(products!$A$1:$G$49,MATCH(orders!$D62,products!$A$1:$A$49,0),MATCH(orders!K$1,products!$A$1:$G$1,0))</f>
        <v>2.5</v>
      </c>
      <c r="L62" s="7">
        <f>INDEX(products!$A$1:$G$49,MATCH(orders!$D62,products!$A$1:$A$49,0),MATCH(orders!L$1,products!$A$1:$G$1,0))</f>
        <v>22.884999999999998</v>
      </c>
      <c r="M62" s="7">
        <f t="shared" si="0"/>
        <v>114.42499999999998</v>
      </c>
      <c r="N62" t="str">
        <f t="shared" si="1"/>
        <v>Arabica</v>
      </c>
      <c r="O62" t="str">
        <f t="shared" si="2"/>
        <v>Dark</v>
      </c>
      <c r="P62" t="str">
        <f>_xlfn.XLOOKUP(Table1[[#This Row],[Customer ID]],customers!$A$1:$A$1001,customers!$I$1:$I$1001,,0)</f>
        <v>No</v>
      </c>
    </row>
    <row r="63" spans="1:16" x14ac:dyDescent="0.2">
      <c r="A63" s="2" t="s">
        <v>833</v>
      </c>
      <c r="B63" s="3">
        <v>43521</v>
      </c>
      <c r="C63" s="2" t="s">
        <v>834</v>
      </c>
      <c r="D63" t="s">
        <v>6172</v>
      </c>
      <c r="E63" s="2">
        <v>5</v>
      </c>
      <c r="F63" s="2" t="str">
        <f>_xlfn.XLOOKUP(C63,customers!$A62:$A1062,customers!$B62:$B1062,,0)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5">
        <f>INDEX(products!$A$1:$G$49,MATCH(orders!$D63,products!$A$1:$A$49,0),MATCH(orders!K$1,products!$A$1:$G$1,0))</f>
        <v>0.5</v>
      </c>
      <c r="L63" s="7">
        <f>INDEX(products!$A$1:$G$49,MATCH(orders!$D63,products!$A$1:$A$49,0),MATCH(orders!L$1,products!$A$1:$G$1,0))</f>
        <v>5.3699999999999992</v>
      </c>
      <c r="M63" s="7">
        <f t="shared" si="0"/>
        <v>26.849999999999994</v>
      </c>
      <c r="N63" t="str">
        <f t="shared" si="1"/>
        <v>Robusta</v>
      </c>
      <c r="O63" t="str">
        <f t="shared" si="2"/>
        <v>Dark</v>
      </c>
      <c r="P63" t="str">
        <f>_xlfn.XLOOKUP(Table1[[#This Row],[Customer ID]],customers!$A$1:$A$1001,customers!$I$1:$I$1001,,0)</f>
        <v>Yes</v>
      </c>
    </row>
    <row r="64" spans="1:16" x14ac:dyDescent="0.2">
      <c r="A64" s="2" t="s">
        <v>838</v>
      </c>
      <c r="B64" s="3">
        <v>43505</v>
      </c>
      <c r="C64" s="2" t="s">
        <v>839</v>
      </c>
      <c r="D64" t="s">
        <v>6145</v>
      </c>
      <c r="E64" s="2">
        <v>5</v>
      </c>
      <c r="F64" s="2" t="str">
        <f>_xlfn.XLOOKUP(C64,customers!$A63:$A1063,customers!$B63:$B1063,,0)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5">
        <f>INDEX(products!$A$1:$G$49,MATCH(orders!$D64,products!$A$1:$A$49,0),MATCH(orders!K$1,products!$A$1:$G$1,0))</f>
        <v>0.2</v>
      </c>
      <c r="L64" s="7">
        <f>INDEX(products!$A$1:$G$49,MATCH(orders!$D64,products!$A$1:$A$49,0),MATCH(orders!L$1,products!$A$1:$G$1,0))</f>
        <v>4.7549999999999999</v>
      </c>
      <c r="M64" s="7">
        <f t="shared" si="0"/>
        <v>23.774999999999999</v>
      </c>
      <c r="N64" t="str">
        <f t="shared" si="1"/>
        <v>Liberica</v>
      </c>
      <c r="O64" t="str">
        <f t="shared" si="2"/>
        <v>Light</v>
      </c>
      <c r="P64" t="str">
        <f>_xlfn.XLOOKUP(Table1[[#This Row],[Customer ID]],customers!$A$1:$A$1001,customers!$I$1:$I$1001,,0)</f>
        <v>Yes</v>
      </c>
    </row>
    <row r="65" spans="1:16" x14ac:dyDescent="0.2">
      <c r="A65" s="2" t="s">
        <v>843</v>
      </c>
      <c r="B65" s="3">
        <v>43868</v>
      </c>
      <c r="C65" s="2" t="s">
        <v>844</v>
      </c>
      <c r="D65" t="s">
        <v>6157</v>
      </c>
      <c r="E65" s="2">
        <v>1</v>
      </c>
      <c r="F65" s="2" t="str">
        <f>_xlfn.XLOOKUP(C65,customers!$A64:$A1064,customers!$B64:$B1064,,0)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5">
        <f>INDEX(products!$A$1:$G$49,MATCH(orders!$D65,products!$A$1:$A$49,0),MATCH(orders!K$1,products!$A$1:$G$1,0))</f>
        <v>0.5</v>
      </c>
      <c r="L65" s="7">
        <f>INDEX(products!$A$1:$G$49,MATCH(orders!$D65,products!$A$1:$A$49,0),MATCH(orders!L$1,products!$A$1:$G$1,0))</f>
        <v>6.75</v>
      </c>
      <c r="M65" s="7">
        <f t="shared" si="0"/>
        <v>6.75</v>
      </c>
      <c r="N65" t="str">
        <f t="shared" si="1"/>
        <v>Arabica</v>
      </c>
      <c r="O65" t="str">
        <f t="shared" si="2"/>
        <v>Medium</v>
      </c>
      <c r="P65" t="str">
        <f>_xlfn.XLOOKUP(Table1[[#This Row],[Customer ID]],customers!$A$1:$A$1001,customers!$I$1:$I$1001,,0)</f>
        <v>No</v>
      </c>
    </row>
    <row r="66" spans="1:16" x14ac:dyDescent="0.2">
      <c r="A66" s="2" t="s">
        <v>849</v>
      </c>
      <c r="B66" s="3">
        <v>43913</v>
      </c>
      <c r="C66" s="2" t="s">
        <v>850</v>
      </c>
      <c r="D66" t="s">
        <v>6146</v>
      </c>
      <c r="E66" s="2">
        <v>6</v>
      </c>
      <c r="F66" s="2" t="str">
        <f>_xlfn.XLOOKUP(C66,customers!$A65:$A1065,customers!$B65:$B1065,,0)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5">
        <f>INDEX(products!$A$1:$G$49,MATCH(orders!$D66,products!$A$1:$A$49,0),MATCH(orders!K$1,products!$A$1:$G$1,0))</f>
        <v>0.5</v>
      </c>
      <c r="L66" s="7">
        <f>INDEX(products!$A$1:$G$49,MATCH(orders!$D66,products!$A$1:$A$49,0),MATCH(orders!L$1,products!$A$1:$G$1,0))</f>
        <v>5.97</v>
      </c>
      <c r="M66" s="7">
        <f t="shared" si="0"/>
        <v>35.82</v>
      </c>
      <c r="N66" t="str">
        <f t="shared" si="1"/>
        <v>Robusta</v>
      </c>
      <c r="O66" t="str">
        <f t="shared" si="2"/>
        <v>Medium</v>
      </c>
      <c r="P66" t="str">
        <f>_xlfn.XLOOKUP(Table1[[#This Row],[Customer ID]],customers!$A$1:$A$1001,customers!$I$1:$I$1001,,0)</f>
        <v>Yes</v>
      </c>
    </row>
    <row r="67" spans="1:16" x14ac:dyDescent="0.2">
      <c r="A67" s="2" t="s">
        <v>854</v>
      </c>
      <c r="B67" s="3">
        <v>44626</v>
      </c>
      <c r="C67" s="2" t="s">
        <v>855</v>
      </c>
      <c r="D67" t="s">
        <v>6149</v>
      </c>
      <c r="E67" s="2">
        <v>4</v>
      </c>
      <c r="F67" s="2" t="str">
        <f>_xlfn.XLOOKUP(C67,customers!$A66:$A1066,customers!$B66:$B1066,,0)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5">
        <f>INDEX(products!$A$1:$G$49,MATCH(orders!$D67,products!$A$1:$A$49,0),MATCH(orders!K$1,products!$A$1:$G$1,0))</f>
        <v>2.5</v>
      </c>
      <c r="L67" s="7">
        <f>INDEX(products!$A$1:$G$49,MATCH(orders!$D67,products!$A$1:$A$49,0),MATCH(orders!L$1,products!$A$1:$G$1,0))</f>
        <v>20.584999999999997</v>
      </c>
      <c r="M67" s="7">
        <f t="shared" ref="M67:M130" si="3">L67*E67</f>
        <v>82.339999999999989</v>
      </c>
      <c r="N67" t="str">
        <f t="shared" ref="N67:N130" si="4">IF(I67="Rob","Robusta",IF(I67="Ara","Arabica",IF(I67="Exc","Excelsa",IF(I67="Lib","Liberica",""))))</f>
        <v>Robusta</v>
      </c>
      <c r="O67" t="str">
        <f t="shared" ref="O67:O130" si="5">IF(J67="M","Medium",IF(J67="L","Light",IF(J67="D","Dark","")))</f>
        <v>Dark</v>
      </c>
      <c r="P67" t="str">
        <f>_xlfn.XLOOKUP(Table1[[#This Row],[Customer ID]],customers!$A$1:$A$1001,customers!$I$1:$I$1001,,0)</f>
        <v>Yes</v>
      </c>
    </row>
    <row r="68" spans="1:16" x14ac:dyDescent="0.2">
      <c r="A68" s="2" t="s">
        <v>860</v>
      </c>
      <c r="B68" s="3">
        <v>44666</v>
      </c>
      <c r="C68" s="2" t="s">
        <v>861</v>
      </c>
      <c r="D68" t="s">
        <v>6173</v>
      </c>
      <c r="E68" s="2">
        <v>1</v>
      </c>
      <c r="F68" s="2" t="str">
        <f>_xlfn.XLOOKUP(C68,customers!$A67:$A1067,customers!$B67:$B1067,,0)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5">
        <f>INDEX(products!$A$1:$G$49,MATCH(orders!$D68,products!$A$1:$A$49,0),MATCH(orders!K$1,products!$A$1:$G$1,0))</f>
        <v>0.5</v>
      </c>
      <c r="L68" s="7">
        <f>INDEX(products!$A$1:$G$49,MATCH(orders!$D68,products!$A$1:$A$49,0),MATCH(orders!L$1,products!$A$1:$G$1,0))</f>
        <v>7.169999999999999</v>
      </c>
      <c r="M68" s="7">
        <f t="shared" si="3"/>
        <v>7.169999999999999</v>
      </c>
      <c r="N68" t="str">
        <f t="shared" si="4"/>
        <v>Robusta</v>
      </c>
      <c r="O68" t="str">
        <f t="shared" si="5"/>
        <v>Light</v>
      </c>
      <c r="P68" t="str">
        <f>_xlfn.XLOOKUP(Table1[[#This Row],[Customer ID]],customers!$A$1:$A$1001,customers!$I$1:$I$1001,,0)</f>
        <v>Yes</v>
      </c>
    </row>
    <row r="69" spans="1:16" x14ac:dyDescent="0.2">
      <c r="A69" s="2" t="s">
        <v>866</v>
      </c>
      <c r="B69" s="3">
        <v>44519</v>
      </c>
      <c r="C69" s="2" t="s">
        <v>867</v>
      </c>
      <c r="D69" t="s">
        <v>6145</v>
      </c>
      <c r="E69" s="2">
        <v>2</v>
      </c>
      <c r="F69" s="2" t="str">
        <f>_xlfn.XLOOKUP(C69,customers!$A68:$A1068,customers!$B68:$B1068,,0)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5">
        <f>INDEX(products!$A$1:$G$49,MATCH(orders!$D69,products!$A$1:$A$49,0),MATCH(orders!K$1,products!$A$1:$G$1,0))</f>
        <v>0.2</v>
      </c>
      <c r="L69" s="7">
        <f>INDEX(products!$A$1:$G$49,MATCH(orders!$D69,products!$A$1:$A$49,0),MATCH(orders!L$1,products!$A$1:$G$1,0))</f>
        <v>4.7549999999999999</v>
      </c>
      <c r="M69" s="7">
        <f t="shared" si="3"/>
        <v>9.51</v>
      </c>
      <c r="N69" t="str">
        <f t="shared" si="4"/>
        <v>Liberica</v>
      </c>
      <c r="O69" t="str">
        <f t="shared" si="5"/>
        <v>Light</v>
      </c>
      <c r="P69" t="str">
        <f>_xlfn.XLOOKUP(Table1[[#This Row],[Customer ID]],customers!$A$1:$A$1001,customers!$I$1:$I$1001,,0)</f>
        <v>No</v>
      </c>
    </row>
    <row r="70" spans="1:16" x14ac:dyDescent="0.2">
      <c r="A70" s="2" t="s">
        <v>872</v>
      </c>
      <c r="B70" s="3">
        <v>43754</v>
      </c>
      <c r="C70" s="2" t="s">
        <v>873</v>
      </c>
      <c r="D70" t="s">
        <v>6174</v>
      </c>
      <c r="E70" s="2">
        <v>1</v>
      </c>
      <c r="F70" s="2" t="str">
        <f>_xlfn.XLOOKUP(C70,customers!$A69:$A1069,customers!$B69:$B1069,,0)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5">
        <f>INDEX(products!$A$1:$G$49,MATCH(orders!$D70,products!$A$1:$A$49,0),MATCH(orders!K$1,products!$A$1:$G$1,0))</f>
        <v>0.2</v>
      </c>
      <c r="L70" s="7">
        <f>INDEX(products!$A$1:$G$49,MATCH(orders!$D70,products!$A$1:$A$49,0),MATCH(orders!L$1,products!$A$1:$G$1,0))</f>
        <v>2.9849999999999999</v>
      </c>
      <c r="M70" s="7">
        <f t="shared" si="3"/>
        <v>2.9849999999999999</v>
      </c>
      <c r="N70" t="str">
        <f t="shared" si="4"/>
        <v>Robusta</v>
      </c>
      <c r="O70" t="str">
        <f t="shared" si="5"/>
        <v>Medium</v>
      </c>
      <c r="P70" t="str">
        <f>_xlfn.XLOOKUP(Table1[[#This Row],[Customer ID]],customers!$A$1:$A$1001,customers!$I$1:$I$1001,,0)</f>
        <v>No</v>
      </c>
    </row>
    <row r="71" spans="1:16" x14ac:dyDescent="0.2">
      <c r="A71" s="2" t="s">
        <v>878</v>
      </c>
      <c r="B71" s="3">
        <v>43795</v>
      </c>
      <c r="C71" s="2" t="s">
        <v>879</v>
      </c>
      <c r="D71" t="s">
        <v>6138</v>
      </c>
      <c r="E71" s="2">
        <v>6</v>
      </c>
      <c r="F71" s="2" t="str">
        <f>_xlfn.XLOOKUP(C71,customers!$A70:$A1070,customers!$B70:$B1070,,0)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5">
        <f>INDEX(products!$A$1:$G$49,MATCH(orders!$D71,products!$A$1:$A$49,0),MATCH(orders!K$1,products!$A$1:$G$1,0))</f>
        <v>1</v>
      </c>
      <c r="L71" s="7">
        <f>INDEX(products!$A$1:$G$49,MATCH(orders!$D71,products!$A$1:$A$49,0),MATCH(orders!L$1,products!$A$1:$G$1,0))</f>
        <v>9.9499999999999993</v>
      </c>
      <c r="M71" s="7">
        <f t="shared" si="3"/>
        <v>59.699999999999996</v>
      </c>
      <c r="N71" t="str">
        <f t="shared" si="4"/>
        <v>Robusta</v>
      </c>
      <c r="O71" t="str">
        <f t="shared" si="5"/>
        <v>Medium</v>
      </c>
      <c r="P71" t="str">
        <f>_xlfn.XLOOKUP(Table1[[#This Row],[Customer ID]],customers!$A$1:$A$1001,customers!$I$1:$I$1001,,0)</f>
        <v>Yes</v>
      </c>
    </row>
    <row r="72" spans="1:16" x14ac:dyDescent="0.2">
      <c r="A72" s="2" t="s">
        <v>885</v>
      </c>
      <c r="B72" s="3">
        <v>43646</v>
      </c>
      <c r="C72" s="2" t="s">
        <v>886</v>
      </c>
      <c r="D72" t="s">
        <v>6148</v>
      </c>
      <c r="E72" s="2">
        <v>4</v>
      </c>
      <c r="F72" s="2" t="str">
        <f>_xlfn.XLOOKUP(C72,customers!$A71:$A1071,customers!$B71:$B1071,,0)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5">
        <f>INDEX(products!$A$1:$G$49,MATCH(orders!$D72,products!$A$1:$A$49,0),MATCH(orders!K$1,products!$A$1:$G$1,0))</f>
        <v>2.5</v>
      </c>
      <c r="L72" s="7">
        <f>INDEX(products!$A$1:$G$49,MATCH(orders!$D72,products!$A$1:$A$49,0),MATCH(orders!L$1,products!$A$1:$G$1,0))</f>
        <v>34.154999999999994</v>
      </c>
      <c r="M72" s="7">
        <f t="shared" si="3"/>
        <v>136.61999999999998</v>
      </c>
      <c r="N72" t="str">
        <f t="shared" si="4"/>
        <v>Excelsa</v>
      </c>
      <c r="O72" t="str">
        <f t="shared" si="5"/>
        <v>Light</v>
      </c>
      <c r="P72" t="str">
        <f>_xlfn.XLOOKUP(Table1[[#This Row],[Customer ID]],customers!$A$1:$A$1001,customers!$I$1:$I$1001,,0)</f>
        <v>No</v>
      </c>
    </row>
    <row r="73" spans="1:16" x14ac:dyDescent="0.2">
      <c r="A73" s="2" t="s">
        <v>891</v>
      </c>
      <c r="B73" s="3">
        <v>44200</v>
      </c>
      <c r="C73" s="2" t="s">
        <v>892</v>
      </c>
      <c r="D73" t="s">
        <v>6145</v>
      </c>
      <c r="E73" s="2">
        <v>2</v>
      </c>
      <c r="F73" s="2" t="str">
        <f>_xlfn.XLOOKUP(C73,customers!$A72:$A1072,customers!$B72:$B1072,,0)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5">
        <f>INDEX(products!$A$1:$G$49,MATCH(orders!$D73,products!$A$1:$A$49,0),MATCH(orders!K$1,products!$A$1:$G$1,0))</f>
        <v>0.2</v>
      </c>
      <c r="L73" s="7">
        <f>INDEX(products!$A$1:$G$49,MATCH(orders!$D73,products!$A$1:$A$49,0),MATCH(orders!L$1,products!$A$1:$G$1,0))</f>
        <v>4.7549999999999999</v>
      </c>
      <c r="M73" s="7">
        <f t="shared" si="3"/>
        <v>9.51</v>
      </c>
      <c r="N73" t="str">
        <f t="shared" si="4"/>
        <v>Liberica</v>
      </c>
      <c r="O73" t="str">
        <f t="shared" si="5"/>
        <v>Light</v>
      </c>
      <c r="P73" t="str">
        <f>_xlfn.XLOOKUP(Table1[[#This Row],[Customer ID]],customers!$A$1:$A$1001,customers!$I$1:$I$1001,,0)</f>
        <v>No</v>
      </c>
    </row>
    <row r="74" spans="1:16" x14ac:dyDescent="0.2">
      <c r="A74" s="2" t="s">
        <v>897</v>
      </c>
      <c r="B74" s="3">
        <v>44131</v>
      </c>
      <c r="C74" s="2" t="s">
        <v>898</v>
      </c>
      <c r="D74" t="s">
        <v>6175</v>
      </c>
      <c r="E74" s="2">
        <v>3</v>
      </c>
      <c r="F74" s="2" t="str">
        <f>_xlfn.XLOOKUP(C74,customers!$A73:$A1073,customers!$B73:$B1073,,0)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5">
        <f>INDEX(products!$A$1:$G$49,MATCH(orders!$D74,products!$A$1:$A$49,0),MATCH(orders!K$1,products!$A$1:$G$1,0))</f>
        <v>2.5</v>
      </c>
      <c r="L74" s="7">
        <f>INDEX(products!$A$1:$G$49,MATCH(orders!$D74,products!$A$1:$A$49,0),MATCH(orders!L$1,products!$A$1:$G$1,0))</f>
        <v>25.874999999999996</v>
      </c>
      <c r="M74" s="7">
        <f t="shared" si="3"/>
        <v>77.624999999999986</v>
      </c>
      <c r="N74" t="str">
        <f t="shared" si="4"/>
        <v>Arabica</v>
      </c>
      <c r="O74" t="str">
        <f t="shared" si="5"/>
        <v>Medium</v>
      </c>
      <c r="P74" t="str">
        <f>_xlfn.XLOOKUP(Table1[[#This Row],[Customer ID]],customers!$A$1:$A$1001,customers!$I$1:$I$1001,,0)</f>
        <v>No</v>
      </c>
    </row>
    <row r="75" spans="1:16" x14ac:dyDescent="0.2">
      <c r="A75" s="2" t="s">
        <v>902</v>
      </c>
      <c r="B75" s="3">
        <v>44362</v>
      </c>
      <c r="C75" s="2" t="s">
        <v>903</v>
      </c>
      <c r="D75" t="s">
        <v>6159</v>
      </c>
      <c r="E75" s="2">
        <v>5</v>
      </c>
      <c r="F75" s="2" t="str">
        <f>_xlfn.XLOOKUP(C75,customers!$A74:$A1074,customers!$B74:$B1074,,0)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5">
        <f>INDEX(products!$A$1:$G$49,MATCH(orders!$D75,products!$A$1:$A$49,0),MATCH(orders!K$1,products!$A$1:$G$1,0))</f>
        <v>0.2</v>
      </c>
      <c r="L75" s="7">
        <f>INDEX(products!$A$1:$G$49,MATCH(orders!$D75,products!$A$1:$A$49,0),MATCH(orders!L$1,products!$A$1:$G$1,0))</f>
        <v>4.3650000000000002</v>
      </c>
      <c r="M75" s="7">
        <f t="shared" si="3"/>
        <v>21.825000000000003</v>
      </c>
      <c r="N75" t="str">
        <f t="shared" si="4"/>
        <v>Liberica</v>
      </c>
      <c r="O75" t="str">
        <f t="shared" si="5"/>
        <v>Medium</v>
      </c>
      <c r="P75" t="str">
        <f>_xlfn.XLOOKUP(Table1[[#This Row],[Customer ID]],customers!$A$1:$A$1001,customers!$I$1:$I$1001,,0)</f>
        <v>Yes</v>
      </c>
    </row>
    <row r="76" spans="1:16" x14ac:dyDescent="0.2">
      <c r="A76" s="2" t="s">
        <v>907</v>
      </c>
      <c r="B76" s="3">
        <v>44396</v>
      </c>
      <c r="C76" s="2" t="s">
        <v>908</v>
      </c>
      <c r="D76" t="s">
        <v>6176</v>
      </c>
      <c r="E76" s="2">
        <v>2</v>
      </c>
      <c r="F76" s="2" t="str">
        <f>_xlfn.XLOOKUP(C76,customers!$A75:$A1075,customers!$B75:$B1075,,0)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5">
        <f>INDEX(products!$A$1:$G$49,MATCH(orders!$D76,products!$A$1:$A$49,0),MATCH(orders!K$1,products!$A$1:$G$1,0))</f>
        <v>0.5</v>
      </c>
      <c r="L76" s="7">
        <f>INDEX(products!$A$1:$G$49,MATCH(orders!$D76,products!$A$1:$A$49,0),MATCH(orders!L$1,products!$A$1:$G$1,0))</f>
        <v>8.91</v>
      </c>
      <c r="M76" s="7">
        <f t="shared" si="3"/>
        <v>17.82</v>
      </c>
      <c r="N76" t="str">
        <f t="shared" si="4"/>
        <v>Excelsa</v>
      </c>
      <c r="O76" t="str">
        <f t="shared" si="5"/>
        <v>Light</v>
      </c>
      <c r="P76" t="str">
        <f>_xlfn.XLOOKUP(Table1[[#This Row],[Customer ID]],customers!$A$1:$A$1001,customers!$I$1:$I$1001,,0)</f>
        <v>Yes</v>
      </c>
    </row>
    <row r="77" spans="1:16" x14ac:dyDescent="0.2">
      <c r="A77" s="2" t="s">
        <v>913</v>
      </c>
      <c r="B77" s="3">
        <v>44400</v>
      </c>
      <c r="C77" s="2" t="s">
        <v>914</v>
      </c>
      <c r="D77" t="s">
        <v>6177</v>
      </c>
      <c r="E77" s="2">
        <v>6</v>
      </c>
      <c r="F77" s="2" t="str">
        <f>_xlfn.XLOOKUP(C77,customers!$A76:$A1076,customers!$B76:$B1076,,0)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5">
        <f>INDEX(products!$A$1:$G$49,MATCH(orders!$D77,products!$A$1:$A$49,0),MATCH(orders!K$1,products!$A$1:$G$1,0))</f>
        <v>1</v>
      </c>
      <c r="L77" s="7">
        <f>INDEX(products!$A$1:$G$49,MATCH(orders!$D77,products!$A$1:$A$49,0),MATCH(orders!L$1,products!$A$1:$G$1,0))</f>
        <v>8.9499999999999993</v>
      </c>
      <c r="M77" s="7">
        <f t="shared" si="3"/>
        <v>53.699999999999996</v>
      </c>
      <c r="N77" t="str">
        <f t="shared" si="4"/>
        <v>Robusta</v>
      </c>
      <c r="O77" t="str">
        <f t="shared" si="5"/>
        <v>Dark</v>
      </c>
      <c r="P77" t="str">
        <f>_xlfn.XLOOKUP(Table1[[#This Row],[Customer ID]],customers!$A$1:$A$1001,customers!$I$1:$I$1001,,0)</f>
        <v>Yes</v>
      </c>
    </row>
    <row r="78" spans="1:16" x14ac:dyDescent="0.2">
      <c r="A78" s="2" t="s">
        <v>919</v>
      </c>
      <c r="B78" s="3">
        <v>43855</v>
      </c>
      <c r="C78" s="2" t="s">
        <v>920</v>
      </c>
      <c r="D78" t="s">
        <v>6178</v>
      </c>
      <c r="E78" s="2">
        <v>1</v>
      </c>
      <c r="F78" s="2" t="str">
        <f>_xlfn.XLOOKUP(C78,customers!$A77:$A1077,customers!$B77:$B1077,,0)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5">
        <f>INDEX(products!$A$1:$G$49,MATCH(orders!$D78,products!$A$1:$A$49,0),MATCH(orders!K$1,products!$A$1:$G$1,0))</f>
        <v>0.2</v>
      </c>
      <c r="L78" s="7">
        <f>INDEX(products!$A$1:$G$49,MATCH(orders!$D78,products!$A$1:$A$49,0),MATCH(orders!L$1,products!$A$1:$G$1,0))</f>
        <v>3.5849999999999995</v>
      </c>
      <c r="M78" s="7">
        <f t="shared" si="3"/>
        <v>3.5849999999999995</v>
      </c>
      <c r="N78" t="str">
        <f t="shared" si="4"/>
        <v>Robusta</v>
      </c>
      <c r="O78" t="str">
        <f t="shared" si="5"/>
        <v>Light</v>
      </c>
      <c r="P78" t="str">
        <f>_xlfn.XLOOKUP(Table1[[#This Row],[Customer ID]],customers!$A$1:$A$1001,customers!$I$1:$I$1001,,0)</f>
        <v>Yes</v>
      </c>
    </row>
    <row r="79" spans="1:16" x14ac:dyDescent="0.2">
      <c r="A79" s="2" t="s">
        <v>924</v>
      </c>
      <c r="B79" s="3">
        <v>43594</v>
      </c>
      <c r="C79" s="2" t="s">
        <v>925</v>
      </c>
      <c r="D79" t="s">
        <v>6153</v>
      </c>
      <c r="E79" s="2">
        <v>2</v>
      </c>
      <c r="F79" s="2" t="str">
        <f>_xlfn.XLOOKUP(C79,customers!$A78:$A1078,customers!$B78:$B1078,,0)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5">
        <f>INDEX(products!$A$1:$G$49,MATCH(orders!$D79,products!$A$1:$A$49,0),MATCH(orders!K$1,products!$A$1:$G$1,0))</f>
        <v>0.2</v>
      </c>
      <c r="L79" s="7">
        <f>INDEX(products!$A$1:$G$49,MATCH(orders!$D79,products!$A$1:$A$49,0),MATCH(orders!L$1,products!$A$1:$G$1,0))</f>
        <v>3.645</v>
      </c>
      <c r="M79" s="7">
        <f t="shared" si="3"/>
        <v>7.29</v>
      </c>
      <c r="N79" t="str">
        <f t="shared" si="4"/>
        <v>Excelsa</v>
      </c>
      <c r="O79" t="str">
        <f t="shared" si="5"/>
        <v>Dark</v>
      </c>
      <c r="P79" t="str">
        <f>_xlfn.XLOOKUP(Table1[[#This Row],[Customer ID]],customers!$A$1:$A$1001,customers!$I$1:$I$1001,,0)</f>
        <v>No</v>
      </c>
    </row>
    <row r="80" spans="1:16" x14ac:dyDescent="0.2">
      <c r="A80" s="2" t="s">
        <v>930</v>
      </c>
      <c r="B80" s="3">
        <v>43920</v>
      </c>
      <c r="C80" s="2" t="s">
        <v>931</v>
      </c>
      <c r="D80" t="s">
        <v>6157</v>
      </c>
      <c r="E80" s="2">
        <v>6</v>
      </c>
      <c r="F80" s="2" t="str">
        <f>_xlfn.XLOOKUP(C80,customers!$A79:$A1079,customers!$B79:$B1079,,0)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5">
        <f>INDEX(products!$A$1:$G$49,MATCH(orders!$D80,products!$A$1:$A$49,0),MATCH(orders!K$1,products!$A$1:$G$1,0))</f>
        <v>0.5</v>
      </c>
      <c r="L80" s="7">
        <f>INDEX(products!$A$1:$G$49,MATCH(orders!$D80,products!$A$1:$A$49,0),MATCH(orders!L$1,products!$A$1:$G$1,0))</f>
        <v>6.75</v>
      </c>
      <c r="M80" s="7">
        <f t="shared" si="3"/>
        <v>40.5</v>
      </c>
      <c r="N80" t="str">
        <f t="shared" si="4"/>
        <v>Arabica</v>
      </c>
      <c r="O80" t="str">
        <f t="shared" si="5"/>
        <v>Medium</v>
      </c>
      <c r="P80" t="str">
        <f>_xlfn.XLOOKUP(Table1[[#This Row],[Customer ID]],customers!$A$1:$A$1001,customers!$I$1:$I$1001,,0)</f>
        <v>Yes</v>
      </c>
    </row>
    <row r="81" spans="1:16" x14ac:dyDescent="0.2">
      <c r="A81" s="2" t="s">
        <v>936</v>
      </c>
      <c r="B81" s="3">
        <v>44633</v>
      </c>
      <c r="C81" s="2" t="s">
        <v>937</v>
      </c>
      <c r="D81" t="s">
        <v>6179</v>
      </c>
      <c r="E81" s="2">
        <v>4</v>
      </c>
      <c r="F81" s="2" t="str">
        <f>_xlfn.XLOOKUP(C81,customers!$A80:$A1080,customers!$B80:$B1080,,0)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5">
        <f>INDEX(products!$A$1:$G$49,MATCH(orders!$D81,products!$A$1:$A$49,0),MATCH(orders!K$1,products!$A$1:$G$1,0))</f>
        <v>1</v>
      </c>
      <c r="L81" s="7">
        <f>INDEX(products!$A$1:$G$49,MATCH(orders!$D81,products!$A$1:$A$49,0),MATCH(orders!L$1,products!$A$1:$G$1,0))</f>
        <v>11.95</v>
      </c>
      <c r="M81" s="7">
        <f t="shared" si="3"/>
        <v>47.8</v>
      </c>
      <c r="N81" t="str">
        <f t="shared" si="4"/>
        <v>Robusta</v>
      </c>
      <c r="O81" t="str">
        <f t="shared" si="5"/>
        <v>Light</v>
      </c>
      <c r="P81" t="str">
        <f>_xlfn.XLOOKUP(Table1[[#This Row],[Customer ID]],customers!$A$1:$A$1001,customers!$I$1:$I$1001,,0)</f>
        <v>No</v>
      </c>
    </row>
    <row r="82" spans="1:16" x14ac:dyDescent="0.2">
      <c r="A82" s="2" t="s">
        <v>942</v>
      </c>
      <c r="B82" s="3">
        <v>43572</v>
      </c>
      <c r="C82" s="2" t="s">
        <v>943</v>
      </c>
      <c r="D82" t="s">
        <v>6180</v>
      </c>
      <c r="E82" s="2">
        <v>5</v>
      </c>
      <c r="F82" s="2" t="str">
        <f>_xlfn.XLOOKUP(C82,customers!$A81:$A1081,customers!$B81:$B1081,,0)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5">
        <f>INDEX(products!$A$1:$G$49,MATCH(orders!$D82,products!$A$1:$A$49,0),MATCH(orders!K$1,products!$A$1:$G$1,0))</f>
        <v>0.5</v>
      </c>
      <c r="L82" s="7">
        <f>INDEX(products!$A$1:$G$49,MATCH(orders!$D82,products!$A$1:$A$49,0),MATCH(orders!L$1,products!$A$1:$G$1,0))</f>
        <v>7.77</v>
      </c>
      <c r="M82" s="7">
        <f t="shared" si="3"/>
        <v>38.849999999999994</v>
      </c>
      <c r="N82" t="str">
        <f t="shared" si="4"/>
        <v>Arabica</v>
      </c>
      <c r="O82" t="str">
        <f t="shared" si="5"/>
        <v>Light</v>
      </c>
      <c r="P82" t="str">
        <f>_xlfn.XLOOKUP(Table1[[#This Row],[Customer ID]],customers!$A$1:$A$1001,customers!$I$1:$I$1001,,0)</f>
        <v>Yes</v>
      </c>
    </row>
    <row r="83" spans="1:16" x14ac:dyDescent="0.2">
      <c r="A83" s="2" t="s">
        <v>948</v>
      </c>
      <c r="B83" s="3">
        <v>43763</v>
      </c>
      <c r="C83" s="2" t="s">
        <v>949</v>
      </c>
      <c r="D83" t="s">
        <v>6164</v>
      </c>
      <c r="E83" s="2">
        <v>3</v>
      </c>
      <c r="F83" s="2" t="str">
        <f>_xlfn.XLOOKUP(C83,customers!$A82:$A1082,customers!$B82:$B1082,,0)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5">
        <f>INDEX(products!$A$1:$G$49,MATCH(orders!$D83,products!$A$1:$A$49,0),MATCH(orders!K$1,products!$A$1:$G$1,0))</f>
        <v>2.5</v>
      </c>
      <c r="L83" s="7">
        <f>INDEX(products!$A$1:$G$49,MATCH(orders!$D83,products!$A$1:$A$49,0),MATCH(orders!L$1,products!$A$1:$G$1,0))</f>
        <v>36.454999999999998</v>
      </c>
      <c r="M83" s="7">
        <f t="shared" si="3"/>
        <v>109.36499999999999</v>
      </c>
      <c r="N83" t="str">
        <f t="shared" si="4"/>
        <v>Liberica</v>
      </c>
      <c r="O83" t="str">
        <f t="shared" si="5"/>
        <v>Light</v>
      </c>
      <c r="P83" t="str">
        <f>_xlfn.XLOOKUP(Table1[[#This Row],[Customer ID]],customers!$A$1:$A$1001,customers!$I$1:$I$1001,,0)</f>
        <v>Yes</v>
      </c>
    </row>
    <row r="84" spans="1:16" x14ac:dyDescent="0.2">
      <c r="A84" s="2" t="s">
        <v>954</v>
      </c>
      <c r="B84" s="3">
        <v>43721</v>
      </c>
      <c r="C84" s="2" t="s">
        <v>955</v>
      </c>
      <c r="D84" t="s">
        <v>6181</v>
      </c>
      <c r="E84" s="2">
        <v>3</v>
      </c>
      <c r="F84" s="2" t="str">
        <f>_xlfn.XLOOKUP(C84,customers!$A83:$A1083,customers!$B83:$B1083,,0)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5">
        <f>INDEX(products!$A$1:$G$49,MATCH(orders!$D84,products!$A$1:$A$49,0),MATCH(orders!K$1,products!$A$1:$G$1,0))</f>
        <v>2.5</v>
      </c>
      <c r="L84" s="7">
        <f>INDEX(products!$A$1:$G$49,MATCH(orders!$D84,products!$A$1:$A$49,0),MATCH(orders!L$1,products!$A$1:$G$1,0))</f>
        <v>33.464999999999996</v>
      </c>
      <c r="M84" s="7">
        <f t="shared" si="3"/>
        <v>100.39499999999998</v>
      </c>
      <c r="N84" t="str">
        <f t="shared" si="4"/>
        <v>Liberica</v>
      </c>
      <c r="O84" t="str">
        <f t="shared" si="5"/>
        <v>Medium</v>
      </c>
      <c r="P84" t="str">
        <f>_xlfn.XLOOKUP(Table1[[#This Row],[Customer ID]],customers!$A$1:$A$1001,customers!$I$1:$I$1001,,0)</f>
        <v>Yes</v>
      </c>
    </row>
    <row r="85" spans="1:16" x14ac:dyDescent="0.2">
      <c r="A85" s="2" t="s">
        <v>960</v>
      </c>
      <c r="B85" s="3">
        <v>43933</v>
      </c>
      <c r="C85" s="2" t="s">
        <v>961</v>
      </c>
      <c r="D85" t="s">
        <v>6149</v>
      </c>
      <c r="E85" s="2">
        <v>4</v>
      </c>
      <c r="F85" s="2" t="str">
        <f>_xlfn.XLOOKUP(C85,customers!$A84:$A1084,customers!$B84:$B1084,,0)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5">
        <f>INDEX(products!$A$1:$G$49,MATCH(orders!$D85,products!$A$1:$A$49,0),MATCH(orders!K$1,products!$A$1:$G$1,0))</f>
        <v>2.5</v>
      </c>
      <c r="L85" s="7">
        <f>INDEX(products!$A$1:$G$49,MATCH(orders!$D85,products!$A$1:$A$49,0),MATCH(orders!L$1,products!$A$1:$G$1,0))</f>
        <v>20.584999999999997</v>
      </c>
      <c r="M85" s="7">
        <f t="shared" si="3"/>
        <v>82.339999999999989</v>
      </c>
      <c r="N85" t="str">
        <f t="shared" si="4"/>
        <v>Robusta</v>
      </c>
      <c r="O85" t="str">
        <f t="shared" si="5"/>
        <v>Dark</v>
      </c>
      <c r="P85" t="str">
        <f>_xlfn.XLOOKUP(Table1[[#This Row],[Customer ID]],customers!$A$1:$A$1001,customers!$I$1:$I$1001,,0)</f>
        <v>Yes</v>
      </c>
    </row>
    <row r="86" spans="1:16" x14ac:dyDescent="0.2">
      <c r="A86" s="2" t="s">
        <v>965</v>
      </c>
      <c r="B86" s="3">
        <v>43783</v>
      </c>
      <c r="C86" s="2" t="s">
        <v>966</v>
      </c>
      <c r="D86" t="s">
        <v>6161</v>
      </c>
      <c r="E86" s="2">
        <v>1</v>
      </c>
      <c r="F86" s="2" t="str">
        <f>_xlfn.XLOOKUP(C86,customers!$A85:$A1085,customers!$B85:$B1085,,0)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5">
        <f>INDEX(products!$A$1:$G$49,MATCH(orders!$D86,products!$A$1:$A$49,0),MATCH(orders!K$1,products!$A$1:$G$1,0))</f>
        <v>0.5</v>
      </c>
      <c r="L86" s="7">
        <f>INDEX(products!$A$1:$G$49,MATCH(orders!$D86,products!$A$1:$A$49,0),MATCH(orders!L$1,products!$A$1:$G$1,0))</f>
        <v>9.51</v>
      </c>
      <c r="M86" s="7">
        <f t="shared" si="3"/>
        <v>9.51</v>
      </c>
      <c r="N86" t="str">
        <f t="shared" si="4"/>
        <v>Liberica</v>
      </c>
      <c r="O86" t="str">
        <f t="shared" si="5"/>
        <v>Light</v>
      </c>
      <c r="P86" t="str">
        <f>_xlfn.XLOOKUP(Table1[[#This Row],[Customer ID]],customers!$A$1:$A$1001,customers!$I$1:$I$1001,,0)</f>
        <v>No</v>
      </c>
    </row>
    <row r="87" spans="1:16" x14ac:dyDescent="0.2">
      <c r="A87" s="2" t="s">
        <v>971</v>
      </c>
      <c r="B87" s="3">
        <v>43664</v>
      </c>
      <c r="C87" s="2" t="s">
        <v>972</v>
      </c>
      <c r="D87" t="s">
        <v>6182</v>
      </c>
      <c r="E87" s="2">
        <v>3</v>
      </c>
      <c r="F87" s="2" t="str">
        <f>_xlfn.XLOOKUP(C87,customers!$A86:$A1086,customers!$B86:$B1086,,0)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5">
        <f>INDEX(products!$A$1:$G$49,MATCH(orders!$D87,products!$A$1:$A$49,0),MATCH(orders!K$1,products!$A$1:$G$1,0))</f>
        <v>2.5</v>
      </c>
      <c r="L87" s="7">
        <f>INDEX(products!$A$1:$G$49,MATCH(orders!$D87,products!$A$1:$A$49,0),MATCH(orders!L$1,products!$A$1:$G$1,0))</f>
        <v>29.784999999999997</v>
      </c>
      <c r="M87" s="7">
        <f t="shared" si="3"/>
        <v>89.35499999999999</v>
      </c>
      <c r="N87" t="str">
        <f t="shared" si="4"/>
        <v>Arabica</v>
      </c>
      <c r="O87" t="str">
        <f t="shared" si="5"/>
        <v>Light</v>
      </c>
      <c r="P87" t="str">
        <f>_xlfn.XLOOKUP(Table1[[#This Row],[Customer ID]],customers!$A$1:$A$1001,customers!$I$1:$I$1001,,0)</f>
        <v>No</v>
      </c>
    </row>
    <row r="88" spans="1:16" x14ac:dyDescent="0.2">
      <c r="A88" s="2" t="s">
        <v>971</v>
      </c>
      <c r="B88" s="3">
        <v>43664</v>
      </c>
      <c r="C88" s="2" t="s">
        <v>972</v>
      </c>
      <c r="D88" t="s">
        <v>6154</v>
      </c>
      <c r="E88" s="2">
        <v>4</v>
      </c>
      <c r="F88" s="2" t="str">
        <f>_xlfn.XLOOKUP(C88,customers!$A87:$A1087,customers!$B87:$B1087,,0)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5">
        <f>INDEX(products!$A$1:$G$49,MATCH(orders!$D88,products!$A$1:$A$49,0),MATCH(orders!K$1,products!$A$1:$G$1,0))</f>
        <v>0.2</v>
      </c>
      <c r="L88" s="7">
        <f>INDEX(products!$A$1:$G$49,MATCH(orders!$D88,products!$A$1:$A$49,0),MATCH(orders!L$1,products!$A$1:$G$1,0))</f>
        <v>2.9849999999999999</v>
      </c>
      <c r="M88" s="7">
        <f t="shared" si="3"/>
        <v>11.94</v>
      </c>
      <c r="N88" t="str">
        <f t="shared" si="4"/>
        <v>Arabica</v>
      </c>
      <c r="O88" t="str">
        <f t="shared" si="5"/>
        <v>Dark</v>
      </c>
      <c r="P88" t="str">
        <f>_xlfn.XLOOKUP(Table1[[#This Row],[Customer ID]],customers!$A$1:$A$1001,customers!$I$1:$I$1001,,0)</f>
        <v>No</v>
      </c>
    </row>
    <row r="89" spans="1:16" x14ac:dyDescent="0.2">
      <c r="A89" s="2" t="s">
        <v>980</v>
      </c>
      <c r="B89" s="3">
        <v>44289</v>
      </c>
      <c r="C89" s="2" t="s">
        <v>981</v>
      </c>
      <c r="D89" t="s">
        <v>6155</v>
      </c>
      <c r="E89" s="2">
        <v>3</v>
      </c>
      <c r="F89" s="2" t="str">
        <f>_xlfn.XLOOKUP(C89,customers!$A88:$A1088,customers!$B88:$B1088,,0)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5">
        <f>INDEX(products!$A$1:$G$49,MATCH(orders!$D89,products!$A$1:$A$49,0),MATCH(orders!K$1,products!$A$1:$G$1,0))</f>
        <v>1</v>
      </c>
      <c r="L89" s="7">
        <f>INDEX(products!$A$1:$G$49,MATCH(orders!$D89,products!$A$1:$A$49,0),MATCH(orders!L$1,products!$A$1:$G$1,0))</f>
        <v>11.25</v>
      </c>
      <c r="M89" s="7">
        <f t="shared" si="3"/>
        <v>33.75</v>
      </c>
      <c r="N89" t="str">
        <f t="shared" si="4"/>
        <v>Arabica</v>
      </c>
      <c r="O89" t="str">
        <f t="shared" si="5"/>
        <v>Medium</v>
      </c>
      <c r="P89" t="str">
        <f>_xlfn.XLOOKUP(Table1[[#This Row],[Customer ID]],customers!$A$1:$A$1001,customers!$I$1:$I$1001,,0)</f>
        <v>No</v>
      </c>
    </row>
    <row r="90" spans="1:16" x14ac:dyDescent="0.2">
      <c r="A90" s="2" t="s">
        <v>985</v>
      </c>
      <c r="B90" s="3">
        <v>44284</v>
      </c>
      <c r="C90" s="2" t="s">
        <v>986</v>
      </c>
      <c r="D90" t="s">
        <v>6179</v>
      </c>
      <c r="E90" s="2">
        <v>3</v>
      </c>
      <c r="F90" s="2" t="str">
        <f>_xlfn.XLOOKUP(C90,customers!$A89:$A1089,customers!$B89:$B1089,,0)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5">
        <f>INDEX(products!$A$1:$G$49,MATCH(orders!$D90,products!$A$1:$A$49,0),MATCH(orders!K$1,products!$A$1:$G$1,0))</f>
        <v>1</v>
      </c>
      <c r="L90" s="7">
        <f>INDEX(products!$A$1:$G$49,MATCH(orders!$D90,products!$A$1:$A$49,0),MATCH(orders!L$1,products!$A$1:$G$1,0))</f>
        <v>11.95</v>
      </c>
      <c r="M90" s="7">
        <f t="shared" si="3"/>
        <v>35.849999999999994</v>
      </c>
      <c r="N90" t="str">
        <f t="shared" si="4"/>
        <v>Robusta</v>
      </c>
      <c r="O90" t="str">
        <f t="shared" si="5"/>
        <v>Light</v>
      </c>
      <c r="P90" t="str">
        <f>_xlfn.XLOOKUP(Table1[[#This Row],[Customer ID]],customers!$A$1:$A$1001,customers!$I$1:$I$1001,,0)</f>
        <v>No</v>
      </c>
    </row>
    <row r="91" spans="1:16" x14ac:dyDescent="0.2">
      <c r="A91" s="2" t="s">
        <v>990</v>
      </c>
      <c r="B91" s="3">
        <v>44545</v>
      </c>
      <c r="C91" s="2" t="s">
        <v>991</v>
      </c>
      <c r="D91" t="s">
        <v>6140</v>
      </c>
      <c r="E91" s="2">
        <v>6</v>
      </c>
      <c r="F91" s="2" t="str">
        <f>_xlfn.XLOOKUP(C91,customers!$A90:$A1090,customers!$B90:$B1090,,0)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5">
        <f>INDEX(products!$A$1:$G$49,MATCH(orders!$D91,products!$A$1:$A$49,0),MATCH(orders!K$1,products!$A$1:$G$1,0))</f>
        <v>1</v>
      </c>
      <c r="L91" s="7">
        <f>INDEX(products!$A$1:$G$49,MATCH(orders!$D91,products!$A$1:$A$49,0),MATCH(orders!L$1,products!$A$1:$G$1,0))</f>
        <v>12.95</v>
      </c>
      <c r="M91" s="7">
        <f t="shared" si="3"/>
        <v>77.699999999999989</v>
      </c>
      <c r="N91" t="str">
        <f t="shared" si="4"/>
        <v>Arabica</v>
      </c>
      <c r="O91" t="str">
        <f t="shared" si="5"/>
        <v>Light</v>
      </c>
      <c r="P91" t="str">
        <f>_xlfn.XLOOKUP(Table1[[#This Row],[Customer ID]],customers!$A$1:$A$1001,customers!$I$1:$I$1001,,0)</f>
        <v>No</v>
      </c>
    </row>
    <row r="92" spans="1:16" x14ac:dyDescent="0.2">
      <c r="A92" s="2" t="s">
        <v>996</v>
      </c>
      <c r="B92" s="3">
        <v>43971</v>
      </c>
      <c r="C92" s="2" t="s">
        <v>997</v>
      </c>
      <c r="D92" t="s">
        <v>6140</v>
      </c>
      <c r="E92" s="2">
        <v>4</v>
      </c>
      <c r="F92" s="2" t="str">
        <f>_xlfn.XLOOKUP(C92,customers!$A91:$A1091,customers!$B91:$B1091,,0)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5">
        <f>INDEX(products!$A$1:$G$49,MATCH(orders!$D92,products!$A$1:$A$49,0),MATCH(orders!K$1,products!$A$1:$G$1,0))</f>
        <v>1</v>
      </c>
      <c r="L92" s="7">
        <f>INDEX(products!$A$1:$G$49,MATCH(orders!$D92,products!$A$1:$A$49,0),MATCH(orders!L$1,products!$A$1:$G$1,0))</f>
        <v>12.95</v>
      </c>
      <c r="M92" s="7">
        <f t="shared" si="3"/>
        <v>51.8</v>
      </c>
      <c r="N92" t="str">
        <f t="shared" si="4"/>
        <v>Arabica</v>
      </c>
      <c r="O92" t="str">
        <f t="shared" si="5"/>
        <v>Light</v>
      </c>
      <c r="P92" t="str">
        <f>_xlfn.XLOOKUP(Table1[[#This Row],[Customer ID]],customers!$A$1:$A$1001,customers!$I$1:$I$1001,,0)</f>
        <v>Yes</v>
      </c>
    </row>
    <row r="93" spans="1:16" x14ac:dyDescent="0.2">
      <c r="A93" s="2" t="s">
        <v>1001</v>
      </c>
      <c r="B93" s="3">
        <v>44137</v>
      </c>
      <c r="C93" s="2" t="s">
        <v>1002</v>
      </c>
      <c r="D93" t="s">
        <v>6175</v>
      </c>
      <c r="E93" s="2">
        <v>4</v>
      </c>
      <c r="F93" s="2" t="str">
        <f>_xlfn.XLOOKUP(C93,customers!$A92:$A1092,customers!$B92:$B1092,,0)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5">
        <f>INDEX(products!$A$1:$G$49,MATCH(orders!$D93,products!$A$1:$A$49,0),MATCH(orders!K$1,products!$A$1:$G$1,0))</f>
        <v>2.5</v>
      </c>
      <c r="L93" s="7">
        <f>INDEX(products!$A$1:$G$49,MATCH(orders!$D93,products!$A$1:$A$49,0),MATCH(orders!L$1,products!$A$1:$G$1,0))</f>
        <v>25.874999999999996</v>
      </c>
      <c r="M93" s="7">
        <f t="shared" si="3"/>
        <v>103.49999999999999</v>
      </c>
      <c r="N93" t="str">
        <f t="shared" si="4"/>
        <v>Arabica</v>
      </c>
      <c r="O93" t="str">
        <f t="shared" si="5"/>
        <v>Medium</v>
      </c>
      <c r="P93" t="str">
        <f>_xlfn.XLOOKUP(Table1[[#This Row],[Customer ID]],customers!$A$1:$A$1001,customers!$I$1:$I$1001,,0)</f>
        <v>No</v>
      </c>
    </row>
    <row r="94" spans="1:16" x14ac:dyDescent="0.2">
      <c r="A94" s="2" t="s">
        <v>1007</v>
      </c>
      <c r="B94" s="3">
        <v>44037</v>
      </c>
      <c r="C94" s="2" t="s">
        <v>1008</v>
      </c>
      <c r="D94" t="s">
        <v>6171</v>
      </c>
      <c r="E94" s="2">
        <v>3</v>
      </c>
      <c r="F94" s="2" t="str">
        <f>_xlfn.XLOOKUP(C94,customers!$A93:$A1093,customers!$B93:$B1093,,0)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5">
        <f>INDEX(products!$A$1:$G$49,MATCH(orders!$D94,products!$A$1:$A$49,0),MATCH(orders!K$1,products!$A$1:$G$1,0))</f>
        <v>1</v>
      </c>
      <c r="L94" s="7">
        <f>INDEX(products!$A$1:$G$49,MATCH(orders!$D94,products!$A$1:$A$49,0),MATCH(orders!L$1,products!$A$1:$G$1,0))</f>
        <v>14.85</v>
      </c>
      <c r="M94" s="7">
        <f t="shared" si="3"/>
        <v>44.55</v>
      </c>
      <c r="N94" t="str">
        <f t="shared" si="4"/>
        <v>Excelsa</v>
      </c>
      <c r="O94" t="str">
        <f t="shared" si="5"/>
        <v>Light</v>
      </c>
      <c r="P94" t="str">
        <f>_xlfn.XLOOKUP(Table1[[#This Row],[Customer ID]],customers!$A$1:$A$1001,customers!$I$1:$I$1001,,0)</f>
        <v>Yes</v>
      </c>
    </row>
    <row r="95" spans="1:16" x14ac:dyDescent="0.2">
      <c r="A95" s="2" t="s">
        <v>1012</v>
      </c>
      <c r="B95" s="3">
        <v>43538</v>
      </c>
      <c r="C95" s="2" t="s">
        <v>1013</v>
      </c>
      <c r="D95" t="s">
        <v>6176</v>
      </c>
      <c r="E95" s="2">
        <v>4</v>
      </c>
      <c r="F95" s="2" t="str">
        <f>_xlfn.XLOOKUP(C95,customers!$A94:$A1094,customers!$B94:$B1094,,0)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5">
        <f>INDEX(products!$A$1:$G$49,MATCH(orders!$D95,products!$A$1:$A$49,0),MATCH(orders!K$1,products!$A$1:$G$1,0))</f>
        <v>0.5</v>
      </c>
      <c r="L95" s="7">
        <f>INDEX(products!$A$1:$G$49,MATCH(orders!$D95,products!$A$1:$A$49,0),MATCH(orders!L$1,products!$A$1:$G$1,0))</f>
        <v>8.91</v>
      </c>
      <c r="M95" s="7">
        <f t="shared" si="3"/>
        <v>35.64</v>
      </c>
      <c r="N95" t="str">
        <f t="shared" si="4"/>
        <v>Excelsa</v>
      </c>
      <c r="O95" t="str">
        <f t="shared" si="5"/>
        <v>Light</v>
      </c>
      <c r="P95" t="str">
        <f>_xlfn.XLOOKUP(Table1[[#This Row],[Customer ID]],customers!$A$1:$A$1001,customers!$I$1:$I$1001,,0)</f>
        <v>Yes</v>
      </c>
    </row>
    <row r="96" spans="1:16" x14ac:dyDescent="0.2">
      <c r="A96" s="2" t="s">
        <v>1018</v>
      </c>
      <c r="B96" s="3">
        <v>44014</v>
      </c>
      <c r="C96" s="2" t="s">
        <v>1019</v>
      </c>
      <c r="D96" t="s">
        <v>6154</v>
      </c>
      <c r="E96" s="2">
        <v>6</v>
      </c>
      <c r="F96" s="2" t="str">
        <f>_xlfn.XLOOKUP(C96,customers!$A95:$A1095,customers!$B95:$B1095,,0)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5">
        <f>INDEX(products!$A$1:$G$49,MATCH(orders!$D96,products!$A$1:$A$49,0),MATCH(orders!K$1,products!$A$1:$G$1,0))</f>
        <v>0.2</v>
      </c>
      <c r="L96" s="7">
        <f>INDEX(products!$A$1:$G$49,MATCH(orders!$D96,products!$A$1:$A$49,0),MATCH(orders!L$1,products!$A$1:$G$1,0))</f>
        <v>2.9849999999999999</v>
      </c>
      <c r="M96" s="7">
        <f t="shared" si="3"/>
        <v>17.91</v>
      </c>
      <c r="N96" t="str">
        <f t="shared" si="4"/>
        <v>Arabica</v>
      </c>
      <c r="O96" t="str">
        <f t="shared" si="5"/>
        <v>Dark</v>
      </c>
      <c r="P96" t="str">
        <f>_xlfn.XLOOKUP(Table1[[#This Row],[Customer ID]],customers!$A$1:$A$1001,customers!$I$1:$I$1001,,0)</f>
        <v>Yes</v>
      </c>
    </row>
    <row r="97" spans="1:16" x14ac:dyDescent="0.2">
      <c r="A97" s="2" t="s">
        <v>1022</v>
      </c>
      <c r="B97" s="3">
        <v>43816</v>
      </c>
      <c r="C97" s="2" t="s">
        <v>1023</v>
      </c>
      <c r="D97" t="s">
        <v>6175</v>
      </c>
      <c r="E97" s="2">
        <v>6</v>
      </c>
      <c r="F97" s="2" t="str">
        <f>_xlfn.XLOOKUP(C97,customers!$A96:$A1096,customers!$B96:$B1096,,0)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5">
        <f>INDEX(products!$A$1:$G$49,MATCH(orders!$D97,products!$A$1:$A$49,0),MATCH(orders!K$1,products!$A$1:$G$1,0))</f>
        <v>2.5</v>
      </c>
      <c r="L97" s="7">
        <f>INDEX(products!$A$1:$G$49,MATCH(orders!$D97,products!$A$1:$A$49,0),MATCH(orders!L$1,products!$A$1:$G$1,0))</f>
        <v>25.874999999999996</v>
      </c>
      <c r="M97" s="7">
        <f t="shared" si="3"/>
        <v>155.24999999999997</v>
      </c>
      <c r="N97" t="str">
        <f t="shared" si="4"/>
        <v>Arabica</v>
      </c>
      <c r="O97" t="str">
        <f t="shared" si="5"/>
        <v>Medium</v>
      </c>
      <c r="P97" t="str">
        <f>_xlfn.XLOOKUP(Table1[[#This Row],[Customer ID]],customers!$A$1:$A$1001,customers!$I$1:$I$1001,,0)</f>
        <v>No</v>
      </c>
    </row>
    <row r="98" spans="1:16" x14ac:dyDescent="0.2">
      <c r="A98" s="2" t="s">
        <v>1027</v>
      </c>
      <c r="B98" s="3">
        <v>44171</v>
      </c>
      <c r="C98" s="2" t="s">
        <v>1028</v>
      </c>
      <c r="D98" t="s">
        <v>6154</v>
      </c>
      <c r="E98" s="2">
        <v>2</v>
      </c>
      <c r="F98" s="2" t="str">
        <f>_xlfn.XLOOKUP(C98,customers!$A97:$A1097,customers!$B97:$B1097,,0)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5">
        <f>INDEX(products!$A$1:$G$49,MATCH(orders!$D98,products!$A$1:$A$49,0),MATCH(orders!K$1,products!$A$1:$G$1,0))</f>
        <v>0.2</v>
      </c>
      <c r="L98" s="7">
        <f>INDEX(products!$A$1:$G$49,MATCH(orders!$D98,products!$A$1:$A$49,0),MATCH(orders!L$1,products!$A$1:$G$1,0))</f>
        <v>2.9849999999999999</v>
      </c>
      <c r="M98" s="7">
        <f t="shared" si="3"/>
        <v>5.97</v>
      </c>
      <c r="N98" t="str">
        <f t="shared" si="4"/>
        <v>Arabica</v>
      </c>
      <c r="O98" t="str">
        <f t="shared" si="5"/>
        <v>Dark</v>
      </c>
      <c r="P98" t="str">
        <f>_xlfn.XLOOKUP(Table1[[#This Row],[Customer ID]],customers!$A$1:$A$1001,customers!$I$1:$I$1001,,0)</f>
        <v>No</v>
      </c>
    </row>
    <row r="99" spans="1:16" x14ac:dyDescent="0.2">
      <c r="A99" s="2" t="s">
        <v>1032</v>
      </c>
      <c r="B99" s="3">
        <v>44259</v>
      </c>
      <c r="C99" s="2" t="s">
        <v>1033</v>
      </c>
      <c r="D99" t="s">
        <v>6157</v>
      </c>
      <c r="E99" s="2">
        <v>2</v>
      </c>
      <c r="F99" s="2" t="str">
        <f>_xlfn.XLOOKUP(C99,customers!$A98:$A1098,customers!$B98:$B1098,,0)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5">
        <f>INDEX(products!$A$1:$G$49,MATCH(orders!$D99,products!$A$1:$A$49,0),MATCH(orders!K$1,products!$A$1:$G$1,0))</f>
        <v>0.5</v>
      </c>
      <c r="L99" s="7">
        <f>INDEX(products!$A$1:$G$49,MATCH(orders!$D99,products!$A$1:$A$49,0),MATCH(orders!L$1,products!$A$1:$G$1,0))</f>
        <v>6.75</v>
      </c>
      <c r="M99" s="7">
        <f t="shared" si="3"/>
        <v>13.5</v>
      </c>
      <c r="N99" t="str">
        <f t="shared" si="4"/>
        <v>Arabica</v>
      </c>
      <c r="O99" t="str">
        <f t="shared" si="5"/>
        <v>Medium</v>
      </c>
      <c r="P99" t="str">
        <f>_xlfn.XLOOKUP(Table1[[#This Row],[Customer ID]],customers!$A$1:$A$1001,customers!$I$1:$I$1001,,0)</f>
        <v>No</v>
      </c>
    </row>
    <row r="100" spans="1:16" x14ac:dyDescent="0.2">
      <c r="A100" s="2" t="s">
        <v>1038</v>
      </c>
      <c r="B100" s="3">
        <v>44394</v>
      </c>
      <c r="C100" s="2" t="s">
        <v>1039</v>
      </c>
      <c r="D100" t="s">
        <v>6154</v>
      </c>
      <c r="E100" s="2">
        <v>1</v>
      </c>
      <c r="F100" s="2" t="str">
        <f>_xlfn.XLOOKUP(C100,customers!$A99:$A1099,customers!$B99:$B1099,,0)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5">
        <f>INDEX(products!$A$1:$G$49,MATCH(orders!$D100,products!$A$1:$A$49,0),MATCH(orders!K$1,products!$A$1:$G$1,0))</f>
        <v>0.2</v>
      </c>
      <c r="L100" s="7">
        <f>INDEX(products!$A$1:$G$49,MATCH(orders!$D100,products!$A$1:$A$49,0),MATCH(orders!L$1,products!$A$1:$G$1,0))</f>
        <v>2.9849999999999999</v>
      </c>
      <c r="M100" s="7">
        <f t="shared" si="3"/>
        <v>2.9849999999999999</v>
      </c>
      <c r="N100" t="str">
        <f t="shared" si="4"/>
        <v>Arabica</v>
      </c>
      <c r="O100" t="str">
        <f t="shared" si="5"/>
        <v>Dark</v>
      </c>
      <c r="P100" t="str">
        <f>_xlfn.XLOOKUP(Table1[[#This Row],[Customer ID]],customers!$A$1:$A$1001,customers!$I$1:$I$1001,,0)</f>
        <v>No</v>
      </c>
    </row>
    <row r="101" spans="1:16" x14ac:dyDescent="0.2">
      <c r="A101" s="2" t="s">
        <v>1043</v>
      </c>
      <c r="B101" s="3">
        <v>44139</v>
      </c>
      <c r="C101" s="2" t="s">
        <v>1044</v>
      </c>
      <c r="D101" t="s">
        <v>6159</v>
      </c>
      <c r="E101" s="2">
        <v>3</v>
      </c>
      <c r="F101" s="2" t="str">
        <f>_xlfn.XLOOKUP(C101,customers!$A100:$A1100,customers!$B100:$B1100,,0)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5">
        <f>INDEX(products!$A$1:$G$49,MATCH(orders!$D101,products!$A$1:$A$49,0),MATCH(orders!K$1,products!$A$1:$G$1,0))</f>
        <v>0.2</v>
      </c>
      <c r="L101" s="7">
        <f>INDEX(products!$A$1:$G$49,MATCH(orders!$D101,products!$A$1:$A$49,0),MATCH(orders!L$1,products!$A$1:$G$1,0))</f>
        <v>4.3650000000000002</v>
      </c>
      <c r="M101" s="7">
        <f t="shared" si="3"/>
        <v>13.095000000000001</v>
      </c>
      <c r="N101" t="str">
        <f t="shared" si="4"/>
        <v>Liberica</v>
      </c>
      <c r="O101" t="str">
        <f t="shared" si="5"/>
        <v>Medium</v>
      </c>
      <c r="P101" t="str">
        <f>_xlfn.XLOOKUP(Table1[[#This Row],[Customer ID]],customers!$A$1:$A$1001,customers!$I$1:$I$1001,,0)</f>
        <v>Yes</v>
      </c>
    </row>
    <row r="102" spans="1:16" x14ac:dyDescent="0.2">
      <c r="A102" s="2" t="s">
        <v>1048</v>
      </c>
      <c r="B102" s="3">
        <v>44291</v>
      </c>
      <c r="C102" s="2" t="s">
        <v>1049</v>
      </c>
      <c r="D102" t="s">
        <v>6167</v>
      </c>
      <c r="E102" s="2">
        <v>2</v>
      </c>
      <c r="F102" s="2" t="str">
        <f>_xlfn.XLOOKUP(C102,customers!$A101:$A1101,customers!$B101:$B1101,,0)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5">
        <f>INDEX(products!$A$1:$G$49,MATCH(orders!$D102,products!$A$1:$A$49,0),MATCH(orders!K$1,products!$A$1:$G$1,0))</f>
        <v>0.2</v>
      </c>
      <c r="L102" s="7">
        <f>INDEX(products!$A$1:$G$49,MATCH(orders!$D102,products!$A$1:$A$49,0),MATCH(orders!L$1,products!$A$1:$G$1,0))</f>
        <v>3.8849999999999998</v>
      </c>
      <c r="M102" s="7">
        <f t="shared" si="3"/>
        <v>7.77</v>
      </c>
      <c r="N102" t="str">
        <f t="shared" si="4"/>
        <v>Arabica</v>
      </c>
      <c r="O102" t="str">
        <f t="shared" si="5"/>
        <v>Light</v>
      </c>
      <c r="P102" t="str">
        <f>_xlfn.XLOOKUP(Table1[[#This Row],[Customer ID]],customers!$A$1:$A$1001,customers!$I$1:$I$1001,,0)</f>
        <v>Yes</v>
      </c>
    </row>
    <row r="103" spans="1:16" x14ac:dyDescent="0.2">
      <c r="A103" s="2" t="s">
        <v>1053</v>
      </c>
      <c r="B103" s="3">
        <v>43891</v>
      </c>
      <c r="C103" s="2" t="s">
        <v>1054</v>
      </c>
      <c r="D103" t="s">
        <v>6165</v>
      </c>
      <c r="E103" s="2">
        <v>5</v>
      </c>
      <c r="F103" s="2" t="str">
        <f>_xlfn.XLOOKUP(C103,customers!$A102:$A1102,customers!$B102:$B1102,,0)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5">
        <f>INDEX(products!$A$1:$G$49,MATCH(orders!$D103,products!$A$1:$A$49,0),MATCH(orders!K$1,products!$A$1:$G$1,0))</f>
        <v>2.5</v>
      </c>
      <c r="L103" s="7">
        <f>INDEX(products!$A$1:$G$49,MATCH(orders!$D103,products!$A$1:$A$49,0),MATCH(orders!L$1,products!$A$1:$G$1,0))</f>
        <v>29.784999999999997</v>
      </c>
      <c r="M103" s="7">
        <f t="shared" si="3"/>
        <v>148.92499999999998</v>
      </c>
      <c r="N103" t="str">
        <f t="shared" si="4"/>
        <v>Liberica</v>
      </c>
      <c r="O103" t="str">
        <f t="shared" si="5"/>
        <v>Dark</v>
      </c>
      <c r="P103" t="str">
        <f>_xlfn.XLOOKUP(Table1[[#This Row],[Customer ID]],customers!$A$1:$A$1001,customers!$I$1:$I$1001,,0)</f>
        <v>Yes</v>
      </c>
    </row>
    <row r="104" spans="1:16" x14ac:dyDescent="0.2">
      <c r="A104" s="2" t="s">
        <v>1059</v>
      </c>
      <c r="B104" s="3">
        <v>44488</v>
      </c>
      <c r="C104" s="2" t="s">
        <v>1060</v>
      </c>
      <c r="D104" t="s">
        <v>6143</v>
      </c>
      <c r="E104" s="2">
        <v>3</v>
      </c>
      <c r="F104" s="2" t="str">
        <f>_xlfn.XLOOKUP(C104,customers!$A103:$A1103,customers!$B103:$B1103,,0)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5">
        <f>INDEX(products!$A$1:$G$49,MATCH(orders!$D104,products!$A$1:$A$49,0),MATCH(orders!K$1,products!$A$1:$G$1,0))</f>
        <v>1</v>
      </c>
      <c r="L104" s="7">
        <f>INDEX(products!$A$1:$G$49,MATCH(orders!$D104,products!$A$1:$A$49,0),MATCH(orders!L$1,products!$A$1:$G$1,0))</f>
        <v>12.95</v>
      </c>
      <c r="M104" s="7">
        <f t="shared" si="3"/>
        <v>38.849999999999994</v>
      </c>
      <c r="N104" t="str">
        <f t="shared" si="4"/>
        <v>Liberica</v>
      </c>
      <c r="O104" t="str">
        <f t="shared" si="5"/>
        <v>Dark</v>
      </c>
      <c r="P104" t="str">
        <f>_xlfn.XLOOKUP(Table1[[#This Row],[Customer ID]],customers!$A$1:$A$1001,customers!$I$1:$I$1001,,0)</f>
        <v>Yes</v>
      </c>
    </row>
    <row r="105" spans="1:16" x14ac:dyDescent="0.2">
      <c r="A105" s="2" t="s">
        <v>1065</v>
      </c>
      <c r="B105" s="3">
        <v>44750</v>
      </c>
      <c r="C105" s="2" t="s">
        <v>1066</v>
      </c>
      <c r="D105" t="s">
        <v>6174</v>
      </c>
      <c r="E105" s="2">
        <v>4</v>
      </c>
      <c r="F105" s="2" t="str">
        <f>_xlfn.XLOOKUP(C105,customers!$A104:$A1104,customers!$B104:$B1104,,0)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5">
        <f>INDEX(products!$A$1:$G$49,MATCH(orders!$D105,products!$A$1:$A$49,0),MATCH(orders!K$1,products!$A$1:$G$1,0))</f>
        <v>0.2</v>
      </c>
      <c r="L105" s="7">
        <f>INDEX(products!$A$1:$G$49,MATCH(orders!$D105,products!$A$1:$A$49,0),MATCH(orders!L$1,products!$A$1:$G$1,0))</f>
        <v>2.9849999999999999</v>
      </c>
      <c r="M105" s="7">
        <f t="shared" si="3"/>
        <v>11.94</v>
      </c>
      <c r="N105" t="str">
        <f t="shared" si="4"/>
        <v>Robusta</v>
      </c>
      <c r="O105" t="str">
        <f t="shared" si="5"/>
        <v>Medium</v>
      </c>
      <c r="P105" t="str">
        <f>_xlfn.XLOOKUP(Table1[[#This Row],[Customer ID]],customers!$A$1:$A$1001,customers!$I$1:$I$1001,,0)</f>
        <v>No</v>
      </c>
    </row>
    <row r="106" spans="1:16" x14ac:dyDescent="0.2">
      <c r="A106" s="2" t="s">
        <v>1071</v>
      </c>
      <c r="B106" s="3">
        <v>43694</v>
      </c>
      <c r="C106" s="2" t="s">
        <v>1072</v>
      </c>
      <c r="D106" t="s">
        <v>6162</v>
      </c>
      <c r="E106" s="2">
        <v>6</v>
      </c>
      <c r="F106" s="2" t="str">
        <f>_xlfn.XLOOKUP(C106,customers!$A105:$A1105,customers!$B105:$B1105,,0)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5">
        <f>INDEX(products!$A$1:$G$49,MATCH(orders!$D106,products!$A$1:$A$49,0),MATCH(orders!K$1,products!$A$1:$G$1,0))</f>
        <v>1</v>
      </c>
      <c r="L106" s="7">
        <f>INDEX(products!$A$1:$G$49,MATCH(orders!$D106,products!$A$1:$A$49,0),MATCH(orders!L$1,products!$A$1:$G$1,0))</f>
        <v>14.55</v>
      </c>
      <c r="M106" s="7">
        <f t="shared" si="3"/>
        <v>87.300000000000011</v>
      </c>
      <c r="N106" t="str">
        <f t="shared" si="4"/>
        <v>Liberica</v>
      </c>
      <c r="O106" t="str">
        <f t="shared" si="5"/>
        <v>Medium</v>
      </c>
      <c r="P106" t="str">
        <f>_xlfn.XLOOKUP(Table1[[#This Row],[Customer ID]],customers!$A$1:$A$1001,customers!$I$1:$I$1001,,0)</f>
        <v>No</v>
      </c>
    </row>
    <row r="107" spans="1:16" x14ac:dyDescent="0.2">
      <c r="A107" s="2" t="s">
        <v>1077</v>
      </c>
      <c r="B107" s="3">
        <v>43982</v>
      </c>
      <c r="C107" s="2" t="s">
        <v>1078</v>
      </c>
      <c r="D107" t="s">
        <v>6157</v>
      </c>
      <c r="E107" s="2">
        <v>6</v>
      </c>
      <c r="F107" s="2" t="str">
        <f>_xlfn.XLOOKUP(C107,customers!$A106:$A1106,customers!$B106:$B1106,,0)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5">
        <f>INDEX(products!$A$1:$G$49,MATCH(orders!$D107,products!$A$1:$A$49,0),MATCH(orders!K$1,products!$A$1:$G$1,0))</f>
        <v>0.5</v>
      </c>
      <c r="L107" s="7">
        <f>INDEX(products!$A$1:$G$49,MATCH(orders!$D107,products!$A$1:$A$49,0),MATCH(orders!L$1,products!$A$1:$G$1,0))</f>
        <v>6.75</v>
      </c>
      <c r="M107" s="7">
        <f t="shared" si="3"/>
        <v>40.5</v>
      </c>
      <c r="N107" t="str">
        <f t="shared" si="4"/>
        <v>Arabica</v>
      </c>
      <c r="O107" t="str">
        <f t="shared" si="5"/>
        <v>Medium</v>
      </c>
      <c r="P107" t="str">
        <f>_xlfn.XLOOKUP(Table1[[#This Row],[Customer ID]],customers!$A$1:$A$1001,customers!$I$1:$I$1001,,0)</f>
        <v>Yes</v>
      </c>
    </row>
    <row r="108" spans="1:16" x14ac:dyDescent="0.2">
      <c r="A108" s="2" t="s">
        <v>1083</v>
      </c>
      <c r="B108" s="3">
        <v>43956</v>
      </c>
      <c r="C108" s="2" t="s">
        <v>1084</v>
      </c>
      <c r="D108" t="s">
        <v>6183</v>
      </c>
      <c r="E108" s="2">
        <v>2</v>
      </c>
      <c r="F108" s="2" t="str">
        <f>_xlfn.XLOOKUP(C108,customers!$A107:$A1107,customers!$B107:$B1107,,0)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5">
        <f>INDEX(products!$A$1:$G$49,MATCH(orders!$D108,products!$A$1:$A$49,0),MATCH(orders!K$1,products!$A$1:$G$1,0))</f>
        <v>1</v>
      </c>
      <c r="L108" s="7">
        <f>INDEX(products!$A$1:$G$49,MATCH(orders!$D108,products!$A$1:$A$49,0),MATCH(orders!L$1,products!$A$1:$G$1,0))</f>
        <v>12.15</v>
      </c>
      <c r="M108" s="7">
        <f t="shared" si="3"/>
        <v>24.3</v>
      </c>
      <c r="N108" t="str">
        <f t="shared" si="4"/>
        <v>Excelsa</v>
      </c>
      <c r="O108" t="str">
        <f t="shared" si="5"/>
        <v>Dark</v>
      </c>
      <c r="P108" t="str">
        <f>_xlfn.XLOOKUP(Table1[[#This Row],[Customer ID]],customers!$A$1:$A$1001,customers!$I$1:$I$1001,,0)</f>
        <v>No</v>
      </c>
    </row>
    <row r="109" spans="1:16" x14ac:dyDescent="0.2">
      <c r="A109" s="2" t="s">
        <v>1089</v>
      </c>
      <c r="B109" s="3">
        <v>43569</v>
      </c>
      <c r="C109" s="2" t="s">
        <v>1090</v>
      </c>
      <c r="D109" t="s">
        <v>6146</v>
      </c>
      <c r="E109" s="2">
        <v>3</v>
      </c>
      <c r="F109" s="2" t="str">
        <f>_xlfn.XLOOKUP(C109,customers!$A108:$A1108,customers!$B108:$B1108,,0)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5">
        <f>INDEX(products!$A$1:$G$49,MATCH(orders!$D109,products!$A$1:$A$49,0),MATCH(orders!K$1,products!$A$1:$G$1,0))</f>
        <v>0.5</v>
      </c>
      <c r="L109" s="7">
        <f>INDEX(products!$A$1:$G$49,MATCH(orders!$D109,products!$A$1:$A$49,0),MATCH(orders!L$1,products!$A$1:$G$1,0))</f>
        <v>5.97</v>
      </c>
      <c r="M109" s="7">
        <f t="shared" si="3"/>
        <v>17.91</v>
      </c>
      <c r="N109" t="str">
        <f t="shared" si="4"/>
        <v>Robusta</v>
      </c>
      <c r="O109" t="str">
        <f t="shared" si="5"/>
        <v>Medium</v>
      </c>
      <c r="P109" t="str">
        <f>_xlfn.XLOOKUP(Table1[[#This Row],[Customer ID]],customers!$A$1:$A$1001,customers!$I$1:$I$1001,,0)</f>
        <v>Yes</v>
      </c>
    </row>
    <row r="110" spans="1:16" x14ac:dyDescent="0.2">
      <c r="A110" s="2" t="s">
        <v>1095</v>
      </c>
      <c r="B110" s="3">
        <v>44041</v>
      </c>
      <c r="C110" s="2" t="s">
        <v>1096</v>
      </c>
      <c r="D110" t="s">
        <v>6157</v>
      </c>
      <c r="E110" s="2">
        <v>4</v>
      </c>
      <c r="F110" s="2" t="str">
        <f>_xlfn.XLOOKUP(C110,customers!$A109:$A1109,customers!$B109:$B1109,,0)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5">
        <f>INDEX(products!$A$1:$G$49,MATCH(orders!$D110,products!$A$1:$A$49,0),MATCH(orders!K$1,products!$A$1:$G$1,0))</f>
        <v>0.5</v>
      </c>
      <c r="L110" s="7">
        <f>INDEX(products!$A$1:$G$49,MATCH(orders!$D110,products!$A$1:$A$49,0),MATCH(orders!L$1,products!$A$1:$G$1,0))</f>
        <v>6.75</v>
      </c>
      <c r="M110" s="7">
        <f t="shared" si="3"/>
        <v>27</v>
      </c>
      <c r="N110" t="str">
        <f t="shared" si="4"/>
        <v>Arabica</v>
      </c>
      <c r="O110" t="str">
        <f t="shared" si="5"/>
        <v>Medium</v>
      </c>
      <c r="P110" t="str">
        <f>_xlfn.XLOOKUP(Table1[[#This Row],[Customer ID]],customers!$A$1:$A$1001,customers!$I$1:$I$1001,,0)</f>
        <v>No</v>
      </c>
    </row>
    <row r="111" spans="1:16" x14ac:dyDescent="0.2">
      <c r="A111" s="2" t="s">
        <v>1100</v>
      </c>
      <c r="B111" s="3">
        <v>43811</v>
      </c>
      <c r="C111" s="2" t="s">
        <v>1101</v>
      </c>
      <c r="D111" t="s">
        <v>6169</v>
      </c>
      <c r="E111" s="2">
        <v>1</v>
      </c>
      <c r="F111" s="2" t="str">
        <f>_xlfn.XLOOKUP(C111,customers!$A110:$A1110,customers!$B110:$B1110,,0)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5">
        <f>INDEX(products!$A$1:$G$49,MATCH(orders!$D111,products!$A$1:$A$49,0),MATCH(orders!K$1,products!$A$1:$G$1,0))</f>
        <v>0.5</v>
      </c>
      <c r="L111" s="7">
        <f>INDEX(products!$A$1:$G$49,MATCH(orders!$D111,products!$A$1:$A$49,0),MATCH(orders!L$1,products!$A$1:$G$1,0))</f>
        <v>7.77</v>
      </c>
      <c r="M111" s="7">
        <f t="shared" si="3"/>
        <v>7.77</v>
      </c>
      <c r="N111" t="str">
        <f t="shared" si="4"/>
        <v>Liberica</v>
      </c>
      <c r="O111" t="str">
        <f t="shared" si="5"/>
        <v>Dark</v>
      </c>
      <c r="P111" t="str">
        <f>_xlfn.XLOOKUP(Table1[[#This Row],[Customer ID]],customers!$A$1:$A$1001,customers!$I$1:$I$1001,,0)</f>
        <v>Yes</v>
      </c>
    </row>
    <row r="112" spans="1:16" x14ac:dyDescent="0.2">
      <c r="A112" s="2" t="s">
        <v>1106</v>
      </c>
      <c r="B112" s="3">
        <v>44727</v>
      </c>
      <c r="C112" s="2" t="s">
        <v>1107</v>
      </c>
      <c r="D112" t="s">
        <v>6184</v>
      </c>
      <c r="E112" s="2">
        <v>3</v>
      </c>
      <c r="F112" s="2" t="str">
        <f>_xlfn.XLOOKUP(C112,customers!$A111:$A1111,customers!$B111:$B1111,,0)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5">
        <f>INDEX(products!$A$1:$G$49,MATCH(orders!$D112,products!$A$1:$A$49,0),MATCH(orders!K$1,products!$A$1:$G$1,0))</f>
        <v>0.2</v>
      </c>
      <c r="L112" s="7">
        <f>INDEX(products!$A$1:$G$49,MATCH(orders!$D112,products!$A$1:$A$49,0),MATCH(orders!L$1,products!$A$1:$G$1,0))</f>
        <v>4.4550000000000001</v>
      </c>
      <c r="M112" s="7">
        <f t="shared" si="3"/>
        <v>13.365</v>
      </c>
      <c r="N112" t="str">
        <f t="shared" si="4"/>
        <v>Excelsa</v>
      </c>
      <c r="O112" t="str">
        <f t="shared" si="5"/>
        <v>Light</v>
      </c>
      <c r="P112" t="str">
        <f>_xlfn.XLOOKUP(Table1[[#This Row],[Customer ID]],customers!$A$1:$A$1001,customers!$I$1:$I$1001,,0)</f>
        <v>Yes</v>
      </c>
    </row>
    <row r="113" spans="1:16" x14ac:dyDescent="0.2">
      <c r="A113" s="2" t="s">
        <v>1112</v>
      </c>
      <c r="B113" s="3">
        <v>43642</v>
      </c>
      <c r="C113" s="2" t="s">
        <v>1113</v>
      </c>
      <c r="D113" t="s">
        <v>6172</v>
      </c>
      <c r="E113" s="2">
        <v>5</v>
      </c>
      <c r="F113" s="2" t="str">
        <f>_xlfn.XLOOKUP(C113,customers!$A112:$A1112,customers!$B112:$B1112,,0)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5">
        <f>INDEX(products!$A$1:$G$49,MATCH(orders!$D113,products!$A$1:$A$49,0),MATCH(orders!K$1,products!$A$1:$G$1,0))</f>
        <v>0.5</v>
      </c>
      <c r="L113" s="7">
        <f>INDEX(products!$A$1:$G$49,MATCH(orders!$D113,products!$A$1:$A$49,0),MATCH(orders!L$1,products!$A$1:$G$1,0))</f>
        <v>5.3699999999999992</v>
      </c>
      <c r="M113" s="7">
        <f t="shared" si="3"/>
        <v>26.849999999999994</v>
      </c>
      <c r="N113" t="str">
        <f t="shared" si="4"/>
        <v>Robusta</v>
      </c>
      <c r="O113" t="str">
        <f t="shared" si="5"/>
        <v>Dark</v>
      </c>
      <c r="P113" t="str">
        <f>_xlfn.XLOOKUP(Table1[[#This Row],[Customer ID]],customers!$A$1:$A$1001,customers!$I$1:$I$1001,,0)</f>
        <v>No</v>
      </c>
    </row>
    <row r="114" spans="1:16" x14ac:dyDescent="0.2">
      <c r="A114" s="2" t="s">
        <v>1117</v>
      </c>
      <c r="B114" s="3">
        <v>44481</v>
      </c>
      <c r="C114" s="2" t="s">
        <v>1118</v>
      </c>
      <c r="D114" t="s">
        <v>6155</v>
      </c>
      <c r="E114" s="2">
        <v>1</v>
      </c>
      <c r="F114" s="2" t="str">
        <f>_xlfn.XLOOKUP(C114,customers!$A113:$A1113,customers!$B113:$B1113,,0)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5">
        <f>INDEX(products!$A$1:$G$49,MATCH(orders!$D114,products!$A$1:$A$49,0),MATCH(orders!K$1,products!$A$1:$G$1,0))</f>
        <v>1</v>
      </c>
      <c r="L114" s="7">
        <f>INDEX(products!$A$1:$G$49,MATCH(orders!$D114,products!$A$1:$A$49,0),MATCH(orders!L$1,products!$A$1:$G$1,0))</f>
        <v>11.25</v>
      </c>
      <c r="M114" s="7">
        <f t="shared" si="3"/>
        <v>11.25</v>
      </c>
      <c r="N114" t="str">
        <f t="shared" si="4"/>
        <v>Arabica</v>
      </c>
      <c r="O114" t="str">
        <f t="shared" si="5"/>
        <v>Medium</v>
      </c>
      <c r="P114" t="str">
        <f>_xlfn.XLOOKUP(Table1[[#This Row],[Customer ID]],customers!$A$1:$A$1001,customers!$I$1:$I$1001,,0)</f>
        <v>No</v>
      </c>
    </row>
    <row r="115" spans="1:16" x14ac:dyDescent="0.2">
      <c r="A115" s="2" t="s">
        <v>1123</v>
      </c>
      <c r="B115" s="3">
        <v>43556</v>
      </c>
      <c r="C115" s="2" t="s">
        <v>1124</v>
      </c>
      <c r="D115" t="s">
        <v>6162</v>
      </c>
      <c r="E115" s="2">
        <v>1</v>
      </c>
      <c r="F115" s="2" t="str">
        <f>_xlfn.XLOOKUP(C115,customers!$A114:$A1114,customers!$B114:$B1114,,0)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5">
        <f>INDEX(products!$A$1:$G$49,MATCH(orders!$D115,products!$A$1:$A$49,0),MATCH(orders!K$1,products!$A$1:$G$1,0))</f>
        <v>1</v>
      </c>
      <c r="L115" s="7">
        <f>INDEX(products!$A$1:$G$49,MATCH(orders!$D115,products!$A$1:$A$49,0),MATCH(orders!L$1,products!$A$1:$G$1,0))</f>
        <v>14.55</v>
      </c>
      <c r="M115" s="7">
        <f t="shared" si="3"/>
        <v>14.55</v>
      </c>
      <c r="N115" t="str">
        <f t="shared" si="4"/>
        <v>Liberica</v>
      </c>
      <c r="O115" t="str">
        <f t="shared" si="5"/>
        <v>Medium</v>
      </c>
      <c r="P115" t="str">
        <f>_xlfn.XLOOKUP(Table1[[#This Row],[Customer ID]],customers!$A$1:$A$1001,customers!$I$1:$I$1001,,0)</f>
        <v>No</v>
      </c>
    </row>
    <row r="116" spans="1:16" x14ac:dyDescent="0.2">
      <c r="A116" s="2" t="s">
        <v>1129</v>
      </c>
      <c r="B116" s="3">
        <v>44265</v>
      </c>
      <c r="C116" s="2" t="s">
        <v>1130</v>
      </c>
      <c r="D116" t="s">
        <v>6178</v>
      </c>
      <c r="E116" s="2">
        <v>4</v>
      </c>
      <c r="F116" s="2" t="str">
        <f>_xlfn.XLOOKUP(C116,customers!$A115:$A1115,customers!$B115:$B1115,,0)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5">
        <f>INDEX(products!$A$1:$G$49,MATCH(orders!$D116,products!$A$1:$A$49,0),MATCH(orders!K$1,products!$A$1:$G$1,0))</f>
        <v>0.2</v>
      </c>
      <c r="L116" s="7">
        <f>INDEX(products!$A$1:$G$49,MATCH(orders!$D116,products!$A$1:$A$49,0),MATCH(orders!L$1,products!$A$1:$G$1,0))</f>
        <v>3.5849999999999995</v>
      </c>
      <c r="M116" s="7">
        <f t="shared" si="3"/>
        <v>14.339999999999998</v>
      </c>
      <c r="N116" t="str">
        <f t="shared" si="4"/>
        <v>Robusta</v>
      </c>
      <c r="O116" t="str">
        <f t="shared" si="5"/>
        <v>Light</v>
      </c>
      <c r="P116" t="str">
        <f>_xlfn.XLOOKUP(Table1[[#This Row],[Customer ID]],customers!$A$1:$A$1001,customers!$I$1:$I$1001,,0)</f>
        <v>No</v>
      </c>
    </row>
    <row r="117" spans="1:16" x14ac:dyDescent="0.2">
      <c r="A117" s="2" t="s">
        <v>1134</v>
      </c>
      <c r="B117" s="3">
        <v>43693</v>
      </c>
      <c r="C117" s="2" t="s">
        <v>1135</v>
      </c>
      <c r="D117" t="s">
        <v>6170</v>
      </c>
      <c r="E117" s="2">
        <v>1</v>
      </c>
      <c r="F117" s="2" t="str">
        <f>_xlfn.XLOOKUP(C117,customers!$A116:$A1116,customers!$B116:$B1116,,0)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5">
        <f>INDEX(products!$A$1:$G$49,MATCH(orders!$D117,products!$A$1:$A$49,0),MATCH(orders!K$1,products!$A$1:$G$1,0))</f>
        <v>1</v>
      </c>
      <c r="L117" s="7">
        <f>INDEX(products!$A$1:$G$49,MATCH(orders!$D117,products!$A$1:$A$49,0),MATCH(orders!L$1,products!$A$1:$G$1,0))</f>
        <v>15.85</v>
      </c>
      <c r="M117" s="7">
        <f t="shared" si="3"/>
        <v>15.85</v>
      </c>
      <c r="N117" t="str">
        <f t="shared" si="4"/>
        <v>Liberica</v>
      </c>
      <c r="O117" t="str">
        <f t="shared" si="5"/>
        <v>Light</v>
      </c>
      <c r="P117" t="str">
        <f>_xlfn.XLOOKUP(Table1[[#This Row],[Customer ID]],customers!$A$1:$A$1001,customers!$I$1:$I$1001,,0)</f>
        <v>No</v>
      </c>
    </row>
    <row r="118" spans="1:16" x14ac:dyDescent="0.2">
      <c r="A118" s="2" t="s">
        <v>1140</v>
      </c>
      <c r="B118" s="3">
        <v>44054</v>
      </c>
      <c r="C118" s="2" t="s">
        <v>1141</v>
      </c>
      <c r="D118" t="s">
        <v>6145</v>
      </c>
      <c r="E118" s="2">
        <v>4</v>
      </c>
      <c r="F118" s="2" t="str">
        <f>_xlfn.XLOOKUP(C118,customers!$A117:$A1117,customers!$B117:$B1117,,0)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5">
        <f>INDEX(products!$A$1:$G$49,MATCH(orders!$D118,products!$A$1:$A$49,0),MATCH(orders!K$1,products!$A$1:$G$1,0))</f>
        <v>0.2</v>
      </c>
      <c r="L118" s="7">
        <f>INDEX(products!$A$1:$G$49,MATCH(orders!$D118,products!$A$1:$A$49,0),MATCH(orders!L$1,products!$A$1:$G$1,0))</f>
        <v>4.7549999999999999</v>
      </c>
      <c r="M118" s="7">
        <f t="shared" si="3"/>
        <v>19.02</v>
      </c>
      <c r="N118" t="str">
        <f t="shared" si="4"/>
        <v>Liberica</v>
      </c>
      <c r="O118" t="str">
        <f t="shared" si="5"/>
        <v>Light</v>
      </c>
      <c r="P118" t="str">
        <f>_xlfn.XLOOKUP(Table1[[#This Row],[Customer ID]],customers!$A$1:$A$1001,customers!$I$1:$I$1001,,0)</f>
        <v>Yes</v>
      </c>
    </row>
    <row r="119" spans="1:16" x14ac:dyDescent="0.2">
      <c r="A119" s="2" t="s">
        <v>1146</v>
      </c>
      <c r="B119" s="3">
        <v>44656</v>
      </c>
      <c r="C119" s="2" t="s">
        <v>1147</v>
      </c>
      <c r="D119" t="s">
        <v>6161</v>
      </c>
      <c r="E119" s="2">
        <v>4</v>
      </c>
      <c r="F119" s="2" t="str">
        <f>_xlfn.XLOOKUP(C119,customers!$A118:$A1118,customers!$B118:$B1118,,0)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5">
        <f>INDEX(products!$A$1:$G$49,MATCH(orders!$D119,products!$A$1:$A$49,0),MATCH(orders!K$1,products!$A$1:$G$1,0))</f>
        <v>0.5</v>
      </c>
      <c r="L119" s="7">
        <f>INDEX(products!$A$1:$G$49,MATCH(orders!$D119,products!$A$1:$A$49,0),MATCH(orders!L$1,products!$A$1:$G$1,0))</f>
        <v>9.51</v>
      </c>
      <c r="M119" s="7">
        <f t="shared" si="3"/>
        <v>38.04</v>
      </c>
      <c r="N119" t="str">
        <f t="shared" si="4"/>
        <v>Liberica</v>
      </c>
      <c r="O119" t="str">
        <f t="shared" si="5"/>
        <v>Light</v>
      </c>
      <c r="P119" t="str">
        <f>_xlfn.XLOOKUP(Table1[[#This Row],[Customer ID]],customers!$A$1:$A$1001,customers!$I$1:$I$1001,,0)</f>
        <v>No</v>
      </c>
    </row>
    <row r="120" spans="1:16" x14ac:dyDescent="0.2">
      <c r="A120" s="2" t="s">
        <v>1152</v>
      </c>
      <c r="B120" s="3">
        <v>43760</v>
      </c>
      <c r="C120" s="2" t="s">
        <v>1153</v>
      </c>
      <c r="D120" t="s">
        <v>6144</v>
      </c>
      <c r="E120" s="2">
        <v>3</v>
      </c>
      <c r="F120" s="2" t="str">
        <f>_xlfn.XLOOKUP(C120,customers!$A119:$A1119,customers!$B119:$B1119,,0)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5">
        <f>INDEX(products!$A$1:$G$49,MATCH(orders!$D120,products!$A$1:$A$49,0),MATCH(orders!K$1,products!$A$1:$G$1,0))</f>
        <v>0.5</v>
      </c>
      <c r="L120" s="7">
        <f>INDEX(products!$A$1:$G$49,MATCH(orders!$D120,products!$A$1:$A$49,0),MATCH(orders!L$1,products!$A$1:$G$1,0))</f>
        <v>7.29</v>
      </c>
      <c r="M120" s="7">
        <f t="shared" si="3"/>
        <v>21.87</v>
      </c>
      <c r="N120" t="str">
        <f t="shared" si="4"/>
        <v>Excelsa</v>
      </c>
      <c r="O120" t="str">
        <f t="shared" si="5"/>
        <v>Dark</v>
      </c>
      <c r="P120" t="str">
        <f>_xlfn.XLOOKUP(Table1[[#This Row],[Customer ID]],customers!$A$1:$A$1001,customers!$I$1:$I$1001,,0)</f>
        <v>Yes</v>
      </c>
    </row>
    <row r="121" spans="1:16" x14ac:dyDescent="0.2">
      <c r="A121" s="2" t="s">
        <v>1158</v>
      </c>
      <c r="B121" s="3">
        <v>44471</v>
      </c>
      <c r="C121" s="2" t="s">
        <v>1159</v>
      </c>
      <c r="D121" t="s">
        <v>6156</v>
      </c>
      <c r="E121" s="2">
        <v>1</v>
      </c>
      <c r="F121" s="2" t="str">
        <f>_xlfn.XLOOKUP(C121,customers!$A120:$A1120,customers!$B120:$B1120,,0)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5">
        <f>INDEX(products!$A$1:$G$49,MATCH(orders!$D121,products!$A$1:$A$49,0),MATCH(orders!K$1,products!$A$1:$G$1,0))</f>
        <v>0.2</v>
      </c>
      <c r="L121" s="7">
        <f>INDEX(products!$A$1:$G$49,MATCH(orders!$D121,products!$A$1:$A$49,0),MATCH(orders!L$1,products!$A$1:$G$1,0))</f>
        <v>4.125</v>
      </c>
      <c r="M121" s="7">
        <f t="shared" si="3"/>
        <v>4.125</v>
      </c>
      <c r="N121" t="str">
        <f t="shared" si="4"/>
        <v>Excelsa</v>
      </c>
      <c r="O121" t="str">
        <f t="shared" si="5"/>
        <v>Medium</v>
      </c>
      <c r="P121" t="str">
        <f>_xlfn.XLOOKUP(Table1[[#This Row],[Customer ID]],customers!$A$1:$A$1001,customers!$I$1:$I$1001,,0)</f>
        <v>No</v>
      </c>
    </row>
    <row r="122" spans="1:16" x14ac:dyDescent="0.2">
      <c r="A122" s="2" t="s">
        <v>1158</v>
      </c>
      <c r="B122" s="3">
        <v>44471</v>
      </c>
      <c r="C122" s="2" t="s">
        <v>1159</v>
      </c>
      <c r="D122" t="s">
        <v>6167</v>
      </c>
      <c r="E122" s="2">
        <v>1</v>
      </c>
      <c r="F122" s="2" t="str">
        <f>_xlfn.XLOOKUP(C122,customers!$A121:$A1121,customers!$B121:$B1121,,0)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5">
        <f>INDEX(products!$A$1:$G$49,MATCH(orders!$D122,products!$A$1:$A$49,0),MATCH(orders!K$1,products!$A$1:$G$1,0))</f>
        <v>0.2</v>
      </c>
      <c r="L122" s="7">
        <f>INDEX(products!$A$1:$G$49,MATCH(orders!$D122,products!$A$1:$A$49,0),MATCH(orders!L$1,products!$A$1:$G$1,0))</f>
        <v>3.8849999999999998</v>
      </c>
      <c r="M122" s="7">
        <f t="shared" si="3"/>
        <v>3.8849999999999998</v>
      </c>
      <c r="N122" t="str">
        <f t="shared" si="4"/>
        <v>Arabica</v>
      </c>
      <c r="O122" t="str">
        <f t="shared" si="5"/>
        <v>Light</v>
      </c>
      <c r="P122" t="str">
        <f>_xlfn.XLOOKUP(Table1[[#This Row],[Customer ID]],customers!$A$1:$A$1001,customers!$I$1:$I$1001,,0)</f>
        <v>No</v>
      </c>
    </row>
    <row r="123" spans="1:16" x14ac:dyDescent="0.2">
      <c r="A123" s="2" t="s">
        <v>1158</v>
      </c>
      <c r="B123" s="3">
        <v>44471</v>
      </c>
      <c r="C123" s="2" t="s">
        <v>1159</v>
      </c>
      <c r="D123" t="s">
        <v>6141</v>
      </c>
      <c r="E123" s="2">
        <v>5</v>
      </c>
      <c r="F123" s="2" t="e">
        <f>_xlfn.XLOOKUP(C123,customers!$A122:$A1122,customers!$B122:$B1122,,0)</f>
        <v>#N/A</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5">
        <f>INDEX(products!$A$1:$G$49,MATCH(orders!$D123,products!$A$1:$A$49,0),MATCH(orders!K$1,products!$A$1:$G$1,0))</f>
        <v>1</v>
      </c>
      <c r="L123" s="7">
        <f>INDEX(products!$A$1:$G$49,MATCH(orders!$D123,products!$A$1:$A$49,0),MATCH(orders!L$1,products!$A$1:$G$1,0))</f>
        <v>13.75</v>
      </c>
      <c r="M123" s="7">
        <f t="shared" si="3"/>
        <v>68.75</v>
      </c>
      <c r="N123" t="str">
        <f t="shared" si="4"/>
        <v>Excelsa</v>
      </c>
      <c r="O123" t="str">
        <f t="shared" si="5"/>
        <v>Medium</v>
      </c>
      <c r="P123" t="str">
        <f>_xlfn.XLOOKUP(Table1[[#This Row],[Customer ID]],customers!$A$1:$A$1001,customers!$I$1:$I$1001,,0)</f>
        <v>No</v>
      </c>
    </row>
    <row r="124" spans="1:16" x14ac:dyDescent="0.2">
      <c r="A124" s="2" t="s">
        <v>1174</v>
      </c>
      <c r="B124" s="3">
        <v>44268</v>
      </c>
      <c r="C124" s="2" t="s">
        <v>1175</v>
      </c>
      <c r="D124" t="s">
        <v>6158</v>
      </c>
      <c r="E124" s="2">
        <v>4</v>
      </c>
      <c r="F124" s="2" t="str">
        <f>_xlfn.XLOOKUP(C124,customers!$A123:$A1123,customers!$B123:$B1123,,0)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5">
        <f>INDEX(products!$A$1:$G$49,MATCH(orders!$D124,products!$A$1:$A$49,0),MATCH(orders!K$1,products!$A$1:$G$1,0))</f>
        <v>0.5</v>
      </c>
      <c r="L124" s="7">
        <f>INDEX(products!$A$1:$G$49,MATCH(orders!$D124,products!$A$1:$A$49,0),MATCH(orders!L$1,products!$A$1:$G$1,0))</f>
        <v>5.97</v>
      </c>
      <c r="M124" s="7">
        <f t="shared" si="3"/>
        <v>23.88</v>
      </c>
      <c r="N124" t="str">
        <f t="shared" si="4"/>
        <v>Arabica</v>
      </c>
      <c r="O124" t="str">
        <f t="shared" si="5"/>
        <v>Dark</v>
      </c>
      <c r="P124" t="str">
        <f>_xlfn.XLOOKUP(Table1[[#This Row],[Customer ID]],customers!$A$1:$A$1001,customers!$I$1:$I$1001,,0)</f>
        <v>Yes</v>
      </c>
    </row>
    <row r="125" spans="1:16" x14ac:dyDescent="0.2">
      <c r="A125" s="2" t="s">
        <v>1180</v>
      </c>
      <c r="B125" s="3">
        <v>44724</v>
      </c>
      <c r="C125" s="2" t="s">
        <v>1181</v>
      </c>
      <c r="D125" t="s">
        <v>6164</v>
      </c>
      <c r="E125" s="2">
        <v>4</v>
      </c>
      <c r="F125" s="2" t="str">
        <f>_xlfn.XLOOKUP(C125,customers!$A124:$A1124,customers!$B124:$B1124,,0)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5">
        <f>INDEX(products!$A$1:$G$49,MATCH(orders!$D125,products!$A$1:$A$49,0),MATCH(orders!K$1,products!$A$1:$G$1,0))</f>
        <v>2.5</v>
      </c>
      <c r="L125" s="7">
        <f>INDEX(products!$A$1:$G$49,MATCH(orders!$D125,products!$A$1:$A$49,0),MATCH(orders!L$1,products!$A$1:$G$1,0))</f>
        <v>36.454999999999998</v>
      </c>
      <c r="M125" s="7">
        <f t="shared" si="3"/>
        <v>145.82</v>
      </c>
      <c r="N125" t="str">
        <f t="shared" si="4"/>
        <v>Liberica</v>
      </c>
      <c r="O125" t="str">
        <f t="shared" si="5"/>
        <v>Light</v>
      </c>
      <c r="P125" t="str">
        <f>_xlfn.XLOOKUP(Table1[[#This Row],[Customer ID]],customers!$A$1:$A$1001,customers!$I$1:$I$1001,,0)</f>
        <v>No</v>
      </c>
    </row>
    <row r="126" spans="1:16" x14ac:dyDescent="0.2">
      <c r="A126" s="2" t="s">
        <v>1186</v>
      </c>
      <c r="B126" s="3">
        <v>43582</v>
      </c>
      <c r="C126" s="2" t="s">
        <v>1187</v>
      </c>
      <c r="D126" t="s">
        <v>6159</v>
      </c>
      <c r="E126" s="2">
        <v>5</v>
      </c>
      <c r="F126" s="2" t="str">
        <f>_xlfn.XLOOKUP(C126,customers!$A125:$A1125,customers!$B125:$B1125,,0)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5">
        <f>INDEX(products!$A$1:$G$49,MATCH(orders!$D126,products!$A$1:$A$49,0),MATCH(orders!K$1,products!$A$1:$G$1,0))</f>
        <v>0.2</v>
      </c>
      <c r="L126" s="7">
        <f>INDEX(products!$A$1:$G$49,MATCH(orders!$D126,products!$A$1:$A$49,0),MATCH(orders!L$1,products!$A$1:$G$1,0))</f>
        <v>4.3650000000000002</v>
      </c>
      <c r="M126" s="7">
        <f t="shared" si="3"/>
        <v>21.825000000000003</v>
      </c>
      <c r="N126" t="str">
        <f t="shared" si="4"/>
        <v>Liberica</v>
      </c>
      <c r="O126" t="str">
        <f t="shared" si="5"/>
        <v>Medium</v>
      </c>
      <c r="P126" t="str">
        <f>_xlfn.XLOOKUP(Table1[[#This Row],[Customer ID]],customers!$A$1:$A$1001,customers!$I$1:$I$1001,,0)</f>
        <v>Yes</v>
      </c>
    </row>
    <row r="127" spans="1:16" x14ac:dyDescent="0.2">
      <c r="A127" s="2" t="s">
        <v>1192</v>
      </c>
      <c r="B127" s="3">
        <v>43608</v>
      </c>
      <c r="C127" s="2" t="s">
        <v>1193</v>
      </c>
      <c r="D127" t="s">
        <v>6160</v>
      </c>
      <c r="E127" s="2">
        <v>3</v>
      </c>
      <c r="F127" s="2" t="str">
        <f>_xlfn.XLOOKUP(C127,customers!$A126:$A1126,customers!$B126:$B1126,,0)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5">
        <f>INDEX(products!$A$1:$G$49,MATCH(orders!$D127,products!$A$1:$A$49,0),MATCH(orders!K$1,products!$A$1:$G$1,0))</f>
        <v>0.5</v>
      </c>
      <c r="L127" s="7">
        <f>INDEX(products!$A$1:$G$49,MATCH(orders!$D127,products!$A$1:$A$49,0),MATCH(orders!L$1,products!$A$1:$G$1,0))</f>
        <v>8.73</v>
      </c>
      <c r="M127" s="7">
        <f t="shared" si="3"/>
        <v>26.19</v>
      </c>
      <c r="N127" t="str">
        <f t="shared" si="4"/>
        <v>Liberica</v>
      </c>
      <c r="O127" t="str">
        <f t="shared" si="5"/>
        <v>Medium</v>
      </c>
      <c r="P127" t="str">
        <f>_xlfn.XLOOKUP(Table1[[#This Row],[Customer ID]],customers!$A$1:$A$1001,customers!$I$1:$I$1001,,0)</f>
        <v>Yes</v>
      </c>
    </row>
    <row r="128" spans="1:16" x14ac:dyDescent="0.2">
      <c r="A128" s="2" t="s">
        <v>1198</v>
      </c>
      <c r="B128" s="3">
        <v>44026</v>
      </c>
      <c r="C128" s="2" t="s">
        <v>1199</v>
      </c>
      <c r="D128" t="s">
        <v>6155</v>
      </c>
      <c r="E128" s="2">
        <v>1</v>
      </c>
      <c r="F128" s="2" t="str">
        <f>_xlfn.XLOOKUP(C128,customers!$A127:$A1127,customers!$B127:$B1127,,0)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5">
        <f>INDEX(products!$A$1:$G$49,MATCH(orders!$D128,products!$A$1:$A$49,0),MATCH(orders!K$1,products!$A$1:$G$1,0))</f>
        <v>1</v>
      </c>
      <c r="L128" s="7">
        <f>INDEX(products!$A$1:$G$49,MATCH(orders!$D128,products!$A$1:$A$49,0),MATCH(orders!L$1,products!$A$1:$G$1,0))</f>
        <v>11.25</v>
      </c>
      <c r="M128" s="7">
        <f t="shared" si="3"/>
        <v>11.25</v>
      </c>
      <c r="N128" t="str">
        <f t="shared" si="4"/>
        <v>Arabica</v>
      </c>
      <c r="O128" t="str">
        <f t="shared" si="5"/>
        <v>Medium</v>
      </c>
      <c r="P128" t="str">
        <f>_xlfn.XLOOKUP(Table1[[#This Row],[Customer ID]],customers!$A$1:$A$1001,customers!$I$1:$I$1001,,0)</f>
        <v>No</v>
      </c>
    </row>
    <row r="129" spans="1:16" x14ac:dyDescent="0.2">
      <c r="A129" s="2" t="s">
        <v>1204</v>
      </c>
      <c r="B129" s="3">
        <v>44510</v>
      </c>
      <c r="C129" s="2" t="s">
        <v>1205</v>
      </c>
      <c r="D129" t="s">
        <v>6143</v>
      </c>
      <c r="E129" s="2">
        <v>6</v>
      </c>
      <c r="F129" s="2" t="str">
        <f>_xlfn.XLOOKUP(C129,customers!$A128:$A1128,customers!$B128:$B1128,,0)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5">
        <f>INDEX(products!$A$1:$G$49,MATCH(orders!$D129,products!$A$1:$A$49,0),MATCH(orders!K$1,products!$A$1:$G$1,0))</f>
        <v>1</v>
      </c>
      <c r="L129" s="7">
        <f>INDEX(products!$A$1:$G$49,MATCH(orders!$D129,products!$A$1:$A$49,0),MATCH(orders!L$1,products!$A$1:$G$1,0))</f>
        <v>12.95</v>
      </c>
      <c r="M129" s="7">
        <f t="shared" si="3"/>
        <v>77.699999999999989</v>
      </c>
      <c r="N129" t="str">
        <f t="shared" si="4"/>
        <v>Liberica</v>
      </c>
      <c r="O129" t="str">
        <f t="shared" si="5"/>
        <v>Dark</v>
      </c>
      <c r="P129" t="str">
        <f>_xlfn.XLOOKUP(Table1[[#This Row],[Customer ID]],customers!$A$1:$A$1001,customers!$I$1:$I$1001,,0)</f>
        <v>No</v>
      </c>
    </row>
    <row r="130" spans="1:16" x14ac:dyDescent="0.2">
      <c r="A130" s="2" t="s">
        <v>1210</v>
      </c>
      <c r="B130" s="3">
        <v>44439</v>
      </c>
      <c r="C130" s="2" t="s">
        <v>1211</v>
      </c>
      <c r="D130" t="s">
        <v>6157</v>
      </c>
      <c r="E130" s="2">
        <v>1</v>
      </c>
      <c r="F130" s="2" t="str">
        <f>_xlfn.XLOOKUP(C130,customers!$A129:$A1129,customers!$B129:$B1129,,0)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5">
        <f>INDEX(products!$A$1:$G$49,MATCH(orders!$D130,products!$A$1:$A$49,0),MATCH(orders!K$1,products!$A$1:$G$1,0))</f>
        <v>0.5</v>
      </c>
      <c r="L130" s="7">
        <f>INDEX(products!$A$1:$G$49,MATCH(orders!$D130,products!$A$1:$A$49,0),MATCH(orders!L$1,products!$A$1:$G$1,0))</f>
        <v>6.75</v>
      </c>
      <c r="M130" s="7">
        <f t="shared" si="3"/>
        <v>6.75</v>
      </c>
      <c r="N130" t="str">
        <f t="shared" si="4"/>
        <v>Arabica</v>
      </c>
      <c r="O130" t="str">
        <f t="shared" si="5"/>
        <v>Medium</v>
      </c>
      <c r="P130" t="str">
        <f>_xlfn.XLOOKUP(Table1[[#This Row],[Customer ID]],customers!$A$1:$A$1001,customers!$I$1:$I$1001,,0)</f>
        <v>No</v>
      </c>
    </row>
    <row r="131" spans="1:16" x14ac:dyDescent="0.2">
      <c r="A131" s="2" t="s">
        <v>1216</v>
      </c>
      <c r="B131" s="3">
        <v>43652</v>
      </c>
      <c r="C131" s="2" t="s">
        <v>1217</v>
      </c>
      <c r="D131" t="s">
        <v>6183</v>
      </c>
      <c r="E131" s="2">
        <v>1</v>
      </c>
      <c r="F131" s="2" t="str">
        <f>_xlfn.XLOOKUP(C131,customers!$A130:$A1130,customers!$B130:$B1130,,0)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5">
        <f>INDEX(products!$A$1:$G$49,MATCH(orders!$D131,products!$A$1:$A$49,0),MATCH(orders!K$1,products!$A$1:$G$1,0))</f>
        <v>1</v>
      </c>
      <c r="L131" s="7">
        <f>INDEX(products!$A$1:$G$49,MATCH(orders!$D131,products!$A$1:$A$49,0),MATCH(orders!L$1,products!$A$1:$G$1,0))</f>
        <v>12.15</v>
      </c>
      <c r="M131" s="7">
        <f t="shared" ref="M131:M194" si="6">L131*E131</f>
        <v>12.15</v>
      </c>
      <c r="N131" t="str">
        <f t="shared" ref="N131:N194" si="7">IF(I131="Rob","Robusta",IF(I131="Ara","Arabica",IF(I131="Exc","Excelsa",IF(I131="Lib","Liberica",""))))</f>
        <v>Excelsa</v>
      </c>
      <c r="O131" t="str">
        <f t="shared" ref="O131:O194" si="8">IF(J131="M","Medium",IF(J131="L","Light",IF(J131="D","Dark","")))</f>
        <v>Dark</v>
      </c>
      <c r="P131" t="str">
        <f>_xlfn.XLOOKUP(Table1[[#This Row],[Customer ID]],customers!$A$1:$A$1001,customers!$I$1:$I$1001,,0)</f>
        <v>Yes</v>
      </c>
    </row>
    <row r="132" spans="1:16" x14ac:dyDescent="0.2">
      <c r="A132" s="2" t="s">
        <v>1222</v>
      </c>
      <c r="B132" s="3">
        <v>44624</v>
      </c>
      <c r="C132" s="2" t="s">
        <v>1223</v>
      </c>
      <c r="D132" t="s">
        <v>6182</v>
      </c>
      <c r="E132" s="2">
        <v>5</v>
      </c>
      <c r="F132" s="2" t="str">
        <f>_xlfn.XLOOKUP(C132,customers!$A131:$A1131,customers!$B131:$B1131,,0)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5">
        <f>INDEX(products!$A$1:$G$49,MATCH(orders!$D132,products!$A$1:$A$49,0),MATCH(orders!K$1,products!$A$1:$G$1,0))</f>
        <v>2.5</v>
      </c>
      <c r="L132" s="7">
        <f>INDEX(products!$A$1:$G$49,MATCH(orders!$D132,products!$A$1:$A$49,0),MATCH(orders!L$1,products!$A$1:$G$1,0))</f>
        <v>29.784999999999997</v>
      </c>
      <c r="M132" s="7">
        <f t="shared" si="6"/>
        <v>148.92499999999998</v>
      </c>
      <c r="N132" t="str">
        <f t="shared" si="7"/>
        <v>Arabica</v>
      </c>
      <c r="O132" t="str">
        <f t="shared" si="8"/>
        <v>Light</v>
      </c>
      <c r="P132" t="str">
        <f>_xlfn.XLOOKUP(Table1[[#This Row],[Customer ID]],customers!$A$1:$A$1001,customers!$I$1:$I$1001,,0)</f>
        <v>Yes</v>
      </c>
    </row>
    <row r="133" spans="1:16" x14ac:dyDescent="0.2">
      <c r="A133" s="2" t="s">
        <v>1227</v>
      </c>
      <c r="B133" s="3">
        <v>44196</v>
      </c>
      <c r="C133" s="2" t="s">
        <v>1228</v>
      </c>
      <c r="D133" t="s">
        <v>6144</v>
      </c>
      <c r="E133" s="2">
        <v>2</v>
      </c>
      <c r="F133" s="2" t="str">
        <f>_xlfn.XLOOKUP(C133,customers!$A132:$A1132,customers!$B132:$B1132,,0)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5">
        <f>INDEX(products!$A$1:$G$49,MATCH(orders!$D133,products!$A$1:$A$49,0),MATCH(orders!K$1,products!$A$1:$G$1,0))</f>
        <v>0.5</v>
      </c>
      <c r="L133" s="7">
        <f>INDEX(products!$A$1:$G$49,MATCH(orders!$D133,products!$A$1:$A$49,0),MATCH(orders!L$1,products!$A$1:$G$1,0))</f>
        <v>7.29</v>
      </c>
      <c r="M133" s="7">
        <f t="shared" si="6"/>
        <v>14.58</v>
      </c>
      <c r="N133" t="str">
        <f t="shared" si="7"/>
        <v>Excelsa</v>
      </c>
      <c r="O133" t="str">
        <f t="shared" si="8"/>
        <v>Dark</v>
      </c>
      <c r="P133" t="str">
        <f>_xlfn.XLOOKUP(Table1[[#This Row],[Customer ID]],customers!$A$1:$A$1001,customers!$I$1:$I$1001,,0)</f>
        <v>Yes</v>
      </c>
    </row>
    <row r="134" spans="1:16" x14ac:dyDescent="0.2">
      <c r="A134" s="2" t="s">
        <v>1233</v>
      </c>
      <c r="B134" s="3">
        <v>44043</v>
      </c>
      <c r="C134" s="2" t="s">
        <v>1234</v>
      </c>
      <c r="D134" t="s">
        <v>6182</v>
      </c>
      <c r="E134" s="2">
        <v>5</v>
      </c>
      <c r="F134" s="2" t="str">
        <f>_xlfn.XLOOKUP(C134,customers!$A133:$A1133,customers!$B133:$B1133,,0)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5">
        <f>INDEX(products!$A$1:$G$49,MATCH(orders!$D134,products!$A$1:$A$49,0),MATCH(orders!K$1,products!$A$1:$G$1,0))</f>
        <v>2.5</v>
      </c>
      <c r="L134" s="7">
        <f>INDEX(products!$A$1:$G$49,MATCH(orders!$D134,products!$A$1:$A$49,0),MATCH(orders!L$1,products!$A$1:$G$1,0))</f>
        <v>29.784999999999997</v>
      </c>
      <c r="M134" s="7">
        <f t="shared" si="6"/>
        <v>148.92499999999998</v>
      </c>
      <c r="N134" t="str">
        <f t="shared" si="7"/>
        <v>Arabica</v>
      </c>
      <c r="O134" t="str">
        <f t="shared" si="8"/>
        <v>Light</v>
      </c>
      <c r="P134" t="str">
        <f>_xlfn.XLOOKUP(Table1[[#This Row],[Customer ID]],customers!$A$1:$A$1001,customers!$I$1:$I$1001,,0)</f>
        <v>Yes</v>
      </c>
    </row>
    <row r="135" spans="1:16" x14ac:dyDescent="0.2">
      <c r="A135" s="2" t="s">
        <v>1239</v>
      </c>
      <c r="B135" s="3">
        <v>44340</v>
      </c>
      <c r="C135" s="2" t="s">
        <v>1240</v>
      </c>
      <c r="D135" t="s">
        <v>6143</v>
      </c>
      <c r="E135" s="2">
        <v>1</v>
      </c>
      <c r="F135" s="2" t="str">
        <f>_xlfn.XLOOKUP(C135,customers!$A134:$A1134,customers!$B134:$B1134,,0)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5">
        <f>INDEX(products!$A$1:$G$49,MATCH(orders!$D135,products!$A$1:$A$49,0),MATCH(orders!K$1,products!$A$1:$G$1,0))</f>
        <v>1</v>
      </c>
      <c r="L135" s="7">
        <f>INDEX(products!$A$1:$G$49,MATCH(orders!$D135,products!$A$1:$A$49,0),MATCH(orders!L$1,products!$A$1:$G$1,0))</f>
        <v>12.95</v>
      </c>
      <c r="M135" s="7">
        <f t="shared" si="6"/>
        <v>12.95</v>
      </c>
      <c r="N135" t="str">
        <f t="shared" si="7"/>
        <v>Liberica</v>
      </c>
      <c r="O135" t="str">
        <f t="shared" si="8"/>
        <v>Dark</v>
      </c>
      <c r="P135" t="str">
        <f>_xlfn.XLOOKUP(Table1[[#This Row],[Customer ID]],customers!$A$1:$A$1001,customers!$I$1:$I$1001,,0)</f>
        <v>No</v>
      </c>
    </row>
    <row r="136" spans="1:16" x14ac:dyDescent="0.2">
      <c r="A136" s="2" t="s">
        <v>1245</v>
      </c>
      <c r="B136" s="3">
        <v>44758</v>
      </c>
      <c r="C136" s="2" t="s">
        <v>1246</v>
      </c>
      <c r="D136" t="s">
        <v>6166</v>
      </c>
      <c r="E136" s="2">
        <v>3</v>
      </c>
      <c r="F136" s="2" t="str">
        <f>_xlfn.XLOOKUP(C136,customers!$A135:$A1135,customers!$B135:$B1135,,0)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5">
        <f>INDEX(products!$A$1:$G$49,MATCH(orders!$D136,products!$A$1:$A$49,0),MATCH(orders!K$1,products!$A$1:$G$1,0))</f>
        <v>2.5</v>
      </c>
      <c r="L136" s="7">
        <f>INDEX(products!$A$1:$G$49,MATCH(orders!$D136,products!$A$1:$A$49,0),MATCH(orders!L$1,products!$A$1:$G$1,0))</f>
        <v>31.624999999999996</v>
      </c>
      <c r="M136" s="7">
        <f t="shared" si="6"/>
        <v>94.874999999999986</v>
      </c>
      <c r="N136" t="str">
        <f t="shared" si="7"/>
        <v>Excelsa</v>
      </c>
      <c r="O136" t="str">
        <f t="shared" si="8"/>
        <v>Medium</v>
      </c>
      <c r="P136" t="str">
        <f>_xlfn.XLOOKUP(Table1[[#This Row],[Customer ID]],customers!$A$1:$A$1001,customers!$I$1:$I$1001,,0)</f>
        <v>Yes</v>
      </c>
    </row>
    <row r="137" spans="1:16" x14ac:dyDescent="0.2">
      <c r="A137" s="2" t="s">
        <v>1249</v>
      </c>
      <c r="B137" s="3">
        <v>44232</v>
      </c>
      <c r="C137" s="2" t="s">
        <v>976</v>
      </c>
      <c r="D137" t="s">
        <v>6180</v>
      </c>
      <c r="E137" s="2">
        <v>5</v>
      </c>
      <c r="F137" s="2" t="e">
        <f>_xlfn.XLOOKUP(C137,customers!$A136:$A1136,customers!$B136:$B1136,,0)</f>
        <v>#N/A</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5">
        <f>INDEX(products!$A$1:$G$49,MATCH(orders!$D137,products!$A$1:$A$49,0),MATCH(orders!K$1,products!$A$1:$G$1,0))</f>
        <v>0.5</v>
      </c>
      <c r="L137" s="7">
        <f>INDEX(products!$A$1:$G$49,MATCH(orders!$D137,products!$A$1:$A$49,0),MATCH(orders!L$1,products!$A$1:$G$1,0))</f>
        <v>7.77</v>
      </c>
      <c r="M137" s="7">
        <f t="shared" si="6"/>
        <v>38.849999999999994</v>
      </c>
      <c r="N137" t="str">
        <f t="shared" si="7"/>
        <v>Arabica</v>
      </c>
      <c r="O137" t="str">
        <f t="shared" si="8"/>
        <v>Light</v>
      </c>
      <c r="P137" t="str">
        <f>_xlfn.XLOOKUP(Table1[[#This Row],[Customer ID]],customers!$A$1:$A$1001,customers!$I$1:$I$1001,,0)</f>
        <v>Yes</v>
      </c>
    </row>
    <row r="138" spans="1:16" x14ac:dyDescent="0.2">
      <c r="A138" s="2" t="s">
        <v>1255</v>
      </c>
      <c r="B138" s="3">
        <v>44406</v>
      </c>
      <c r="C138" s="2" t="s">
        <v>1256</v>
      </c>
      <c r="D138" t="s">
        <v>6154</v>
      </c>
      <c r="E138" s="2">
        <v>4</v>
      </c>
      <c r="F138" s="2" t="str">
        <f>_xlfn.XLOOKUP(C138,customers!$A137:$A1137,customers!$B137:$B1137,,0)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5">
        <f>INDEX(products!$A$1:$G$49,MATCH(orders!$D138,products!$A$1:$A$49,0),MATCH(orders!K$1,products!$A$1:$G$1,0))</f>
        <v>0.2</v>
      </c>
      <c r="L138" s="7">
        <f>INDEX(products!$A$1:$G$49,MATCH(orders!$D138,products!$A$1:$A$49,0),MATCH(orders!L$1,products!$A$1:$G$1,0))</f>
        <v>2.9849999999999999</v>
      </c>
      <c r="M138" s="7">
        <f t="shared" si="6"/>
        <v>11.94</v>
      </c>
      <c r="N138" t="str">
        <f t="shared" si="7"/>
        <v>Arabica</v>
      </c>
      <c r="O138" t="str">
        <f t="shared" si="8"/>
        <v>Dark</v>
      </c>
      <c r="P138" t="str">
        <f>_xlfn.XLOOKUP(Table1[[#This Row],[Customer ID]],customers!$A$1:$A$1001,customers!$I$1:$I$1001,,0)</f>
        <v>No</v>
      </c>
    </row>
    <row r="139" spans="1:16" x14ac:dyDescent="0.2">
      <c r="A139" s="2" t="s">
        <v>1261</v>
      </c>
      <c r="B139" s="3">
        <v>44637</v>
      </c>
      <c r="C139" s="2" t="s">
        <v>1262</v>
      </c>
      <c r="D139" t="s">
        <v>6148</v>
      </c>
      <c r="E139" s="2">
        <v>3</v>
      </c>
      <c r="F139" s="2" t="str">
        <f>_xlfn.XLOOKUP(C139,customers!$A138:$A1138,customers!$B138:$B1138,,0)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5">
        <f>INDEX(products!$A$1:$G$49,MATCH(orders!$D139,products!$A$1:$A$49,0),MATCH(orders!K$1,products!$A$1:$G$1,0))</f>
        <v>2.5</v>
      </c>
      <c r="L139" s="7">
        <f>INDEX(products!$A$1:$G$49,MATCH(orders!$D139,products!$A$1:$A$49,0),MATCH(orders!L$1,products!$A$1:$G$1,0))</f>
        <v>34.154999999999994</v>
      </c>
      <c r="M139" s="7">
        <f t="shared" si="6"/>
        <v>102.46499999999997</v>
      </c>
      <c r="N139" t="str">
        <f t="shared" si="7"/>
        <v>Excelsa</v>
      </c>
      <c r="O139" t="str">
        <f t="shared" si="8"/>
        <v>Light</v>
      </c>
      <c r="P139" t="str">
        <f>_xlfn.XLOOKUP(Table1[[#This Row],[Customer ID]],customers!$A$1:$A$1001,customers!$I$1:$I$1001,,0)</f>
        <v>No</v>
      </c>
    </row>
    <row r="140" spans="1:16" x14ac:dyDescent="0.2">
      <c r="A140" s="2" t="s">
        <v>1266</v>
      </c>
      <c r="B140" s="3">
        <v>44238</v>
      </c>
      <c r="C140" s="2" t="s">
        <v>1267</v>
      </c>
      <c r="D140" t="s">
        <v>6183</v>
      </c>
      <c r="E140" s="2">
        <v>4</v>
      </c>
      <c r="F140" s="2" t="str">
        <f>_xlfn.XLOOKUP(C140,customers!$A139:$A1139,customers!$B139:$B1139,,0)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5">
        <f>INDEX(products!$A$1:$G$49,MATCH(orders!$D140,products!$A$1:$A$49,0),MATCH(orders!K$1,products!$A$1:$G$1,0))</f>
        <v>1</v>
      </c>
      <c r="L140" s="7">
        <f>INDEX(products!$A$1:$G$49,MATCH(orders!$D140,products!$A$1:$A$49,0),MATCH(orders!L$1,products!$A$1:$G$1,0))</f>
        <v>12.15</v>
      </c>
      <c r="M140" s="7">
        <f t="shared" si="6"/>
        <v>48.6</v>
      </c>
      <c r="N140" t="str">
        <f t="shared" si="7"/>
        <v>Excelsa</v>
      </c>
      <c r="O140" t="str">
        <f t="shared" si="8"/>
        <v>Dark</v>
      </c>
      <c r="P140" t="str">
        <f>_xlfn.XLOOKUP(Table1[[#This Row],[Customer ID]],customers!$A$1:$A$1001,customers!$I$1:$I$1001,,0)</f>
        <v>No</v>
      </c>
    </row>
    <row r="141" spans="1:16" x14ac:dyDescent="0.2">
      <c r="A141" s="2" t="s">
        <v>1271</v>
      </c>
      <c r="B141" s="3">
        <v>43509</v>
      </c>
      <c r="C141" s="2" t="s">
        <v>1272</v>
      </c>
      <c r="D141" t="s">
        <v>6143</v>
      </c>
      <c r="E141" s="2">
        <v>6</v>
      </c>
      <c r="F141" s="2" t="str">
        <f>_xlfn.XLOOKUP(C141,customers!$A140:$A1140,customers!$B140:$B1140,,0)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5">
        <f>INDEX(products!$A$1:$G$49,MATCH(orders!$D141,products!$A$1:$A$49,0),MATCH(orders!K$1,products!$A$1:$G$1,0))</f>
        <v>1</v>
      </c>
      <c r="L141" s="7">
        <f>INDEX(products!$A$1:$G$49,MATCH(orders!$D141,products!$A$1:$A$49,0),MATCH(orders!L$1,products!$A$1:$G$1,0))</f>
        <v>12.95</v>
      </c>
      <c r="M141" s="7">
        <f t="shared" si="6"/>
        <v>77.699999999999989</v>
      </c>
      <c r="N141" t="str">
        <f t="shared" si="7"/>
        <v>Liberica</v>
      </c>
      <c r="O141" t="str">
        <f t="shared" si="8"/>
        <v>Dark</v>
      </c>
      <c r="P141" t="str">
        <f>_xlfn.XLOOKUP(Table1[[#This Row],[Customer ID]],customers!$A$1:$A$1001,customers!$I$1:$I$1001,,0)</f>
        <v>Yes</v>
      </c>
    </row>
    <row r="142" spans="1:16" x14ac:dyDescent="0.2">
      <c r="A142" s="2" t="s">
        <v>1276</v>
      </c>
      <c r="B142" s="3">
        <v>44694</v>
      </c>
      <c r="C142" s="2" t="s">
        <v>1277</v>
      </c>
      <c r="D142" t="s">
        <v>6165</v>
      </c>
      <c r="E142" s="2">
        <v>1</v>
      </c>
      <c r="F142" s="2" t="str">
        <f>_xlfn.XLOOKUP(C142,customers!$A141:$A1141,customers!$B141:$B1141,,0)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5">
        <f>INDEX(products!$A$1:$G$49,MATCH(orders!$D142,products!$A$1:$A$49,0),MATCH(orders!K$1,products!$A$1:$G$1,0))</f>
        <v>2.5</v>
      </c>
      <c r="L142" s="7">
        <f>INDEX(products!$A$1:$G$49,MATCH(orders!$D142,products!$A$1:$A$49,0),MATCH(orders!L$1,products!$A$1:$G$1,0))</f>
        <v>29.784999999999997</v>
      </c>
      <c r="M142" s="7">
        <f t="shared" si="6"/>
        <v>29.784999999999997</v>
      </c>
      <c r="N142" t="str">
        <f t="shared" si="7"/>
        <v>Liberica</v>
      </c>
      <c r="O142" t="str">
        <f t="shared" si="8"/>
        <v>Dark</v>
      </c>
      <c r="P142" t="str">
        <f>_xlfn.XLOOKUP(Table1[[#This Row],[Customer ID]],customers!$A$1:$A$1001,customers!$I$1:$I$1001,,0)</f>
        <v>Yes</v>
      </c>
    </row>
    <row r="143" spans="1:16" x14ac:dyDescent="0.2">
      <c r="A143" s="2" t="s">
        <v>1283</v>
      </c>
      <c r="B143" s="3">
        <v>43970</v>
      </c>
      <c r="C143" s="2" t="s">
        <v>1284</v>
      </c>
      <c r="D143" t="s">
        <v>6167</v>
      </c>
      <c r="E143" s="2">
        <v>4</v>
      </c>
      <c r="F143" s="2" t="str">
        <f>_xlfn.XLOOKUP(C143,customers!$A142:$A1142,customers!$B142:$B1142,,0)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5">
        <f>INDEX(products!$A$1:$G$49,MATCH(orders!$D143,products!$A$1:$A$49,0),MATCH(orders!K$1,products!$A$1:$G$1,0))</f>
        <v>0.2</v>
      </c>
      <c r="L143" s="7">
        <f>INDEX(products!$A$1:$G$49,MATCH(orders!$D143,products!$A$1:$A$49,0),MATCH(orders!L$1,products!$A$1:$G$1,0))</f>
        <v>3.8849999999999998</v>
      </c>
      <c r="M143" s="7">
        <f t="shared" si="6"/>
        <v>15.54</v>
      </c>
      <c r="N143" t="str">
        <f t="shared" si="7"/>
        <v>Arabica</v>
      </c>
      <c r="O143" t="str">
        <f t="shared" si="8"/>
        <v>Light</v>
      </c>
      <c r="P143" t="str">
        <f>_xlfn.XLOOKUP(Table1[[#This Row],[Customer ID]],customers!$A$1:$A$1001,customers!$I$1:$I$1001,,0)</f>
        <v>Yes</v>
      </c>
    </row>
    <row r="144" spans="1:16" x14ac:dyDescent="0.2">
      <c r="A144" s="2" t="s">
        <v>1289</v>
      </c>
      <c r="B144" s="3">
        <v>44678</v>
      </c>
      <c r="C144" s="2" t="s">
        <v>1290</v>
      </c>
      <c r="D144" t="s">
        <v>6148</v>
      </c>
      <c r="E144" s="2">
        <v>4</v>
      </c>
      <c r="F144" s="2" t="str">
        <f>_xlfn.XLOOKUP(C144,customers!$A143:$A1143,customers!$B143:$B1143,,0)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5">
        <f>INDEX(products!$A$1:$G$49,MATCH(orders!$D144,products!$A$1:$A$49,0),MATCH(orders!K$1,products!$A$1:$G$1,0))</f>
        <v>2.5</v>
      </c>
      <c r="L144" s="7">
        <f>INDEX(products!$A$1:$G$49,MATCH(orders!$D144,products!$A$1:$A$49,0),MATCH(orders!L$1,products!$A$1:$G$1,0))</f>
        <v>34.154999999999994</v>
      </c>
      <c r="M144" s="7">
        <f t="shared" si="6"/>
        <v>136.61999999999998</v>
      </c>
      <c r="N144" t="str">
        <f t="shared" si="7"/>
        <v>Excelsa</v>
      </c>
      <c r="O144" t="str">
        <f t="shared" si="8"/>
        <v>Light</v>
      </c>
      <c r="P144" t="str">
        <f>_xlfn.XLOOKUP(Table1[[#This Row],[Customer ID]],customers!$A$1:$A$1001,customers!$I$1:$I$1001,,0)</f>
        <v>Yes</v>
      </c>
    </row>
    <row r="145" spans="1:16" x14ac:dyDescent="0.2">
      <c r="A145" s="2" t="s">
        <v>1293</v>
      </c>
      <c r="B145" s="3">
        <v>44083</v>
      </c>
      <c r="C145" s="2" t="s">
        <v>1294</v>
      </c>
      <c r="D145" t="s">
        <v>6160</v>
      </c>
      <c r="E145" s="2">
        <v>2</v>
      </c>
      <c r="F145" s="2" t="str">
        <f>_xlfn.XLOOKUP(C145,customers!$A144:$A1144,customers!$B144:$B1144,,0)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5">
        <f>INDEX(products!$A$1:$G$49,MATCH(orders!$D145,products!$A$1:$A$49,0),MATCH(orders!K$1,products!$A$1:$G$1,0))</f>
        <v>0.5</v>
      </c>
      <c r="L145" s="7">
        <f>INDEX(products!$A$1:$G$49,MATCH(orders!$D145,products!$A$1:$A$49,0),MATCH(orders!L$1,products!$A$1:$G$1,0))</f>
        <v>8.73</v>
      </c>
      <c r="M145" s="7">
        <f t="shared" si="6"/>
        <v>17.46</v>
      </c>
      <c r="N145" t="str">
        <f t="shared" si="7"/>
        <v>Liberica</v>
      </c>
      <c r="O145" t="str">
        <f t="shared" si="8"/>
        <v>Medium</v>
      </c>
      <c r="P145" t="str">
        <f>_xlfn.XLOOKUP(Table1[[#This Row],[Customer ID]],customers!$A$1:$A$1001,customers!$I$1:$I$1001,,0)</f>
        <v>No</v>
      </c>
    </row>
    <row r="146" spans="1:16" x14ac:dyDescent="0.2">
      <c r="A146" s="2" t="s">
        <v>1299</v>
      </c>
      <c r="B146" s="3">
        <v>44265</v>
      </c>
      <c r="C146" s="2" t="s">
        <v>1300</v>
      </c>
      <c r="D146" t="s">
        <v>6148</v>
      </c>
      <c r="E146" s="2">
        <v>2</v>
      </c>
      <c r="F146" s="2" t="str">
        <f>_xlfn.XLOOKUP(C146,customers!$A145:$A1145,customers!$B145:$B1145,,0)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5">
        <f>INDEX(products!$A$1:$G$49,MATCH(orders!$D146,products!$A$1:$A$49,0),MATCH(orders!K$1,products!$A$1:$G$1,0))</f>
        <v>2.5</v>
      </c>
      <c r="L146" s="7">
        <f>INDEX(products!$A$1:$G$49,MATCH(orders!$D146,products!$A$1:$A$49,0),MATCH(orders!L$1,products!$A$1:$G$1,0))</f>
        <v>34.154999999999994</v>
      </c>
      <c r="M146" s="7">
        <f t="shared" si="6"/>
        <v>68.309999999999988</v>
      </c>
      <c r="N146" t="str">
        <f t="shared" si="7"/>
        <v>Excelsa</v>
      </c>
      <c r="O146" t="str">
        <f t="shared" si="8"/>
        <v>Light</v>
      </c>
      <c r="P146" t="str">
        <f>_xlfn.XLOOKUP(Table1[[#This Row],[Customer ID]],customers!$A$1:$A$1001,customers!$I$1:$I$1001,,0)</f>
        <v>Yes</v>
      </c>
    </row>
    <row r="147" spans="1:16" x14ac:dyDescent="0.2">
      <c r="A147" s="2" t="s">
        <v>1305</v>
      </c>
      <c r="B147" s="3">
        <v>43562</v>
      </c>
      <c r="C147" s="2" t="s">
        <v>1306</v>
      </c>
      <c r="D147" t="s">
        <v>6159</v>
      </c>
      <c r="E147" s="2">
        <v>4</v>
      </c>
      <c r="F147" s="2" t="str">
        <f>_xlfn.XLOOKUP(C147,customers!$A146:$A1146,customers!$B146:$B1146,,0)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5">
        <f>INDEX(products!$A$1:$G$49,MATCH(orders!$D147,products!$A$1:$A$49,0),MATCH(orders!K$1,products!$A$1:$G$1,0))</f>
        <v>0.2</v>
      </c>
      <c r="L147" s="7">
        <f>INDEX(products!$A$1:$G$49,MATCH(orders!$D147,products!$A$1:$A$49,0),MATCH(orders!L$1,products!$A$1:$G$1,0))</f>
        <v>4.3650000000000002</v>
      </c>
      <c r="M147" s="7">
        <f t="shared" si="6"/>
        <v>17.46</v>
      </c>
      <c r="N147" t="str">
        <f t="shared" si="7"/>
        <v>Liberica</v>
      </c>
      <c r="O147" t="str">
        <f t="shared" si="8"/>
        <v>Medium</v>
      </c>
      <c r="P147" t="str">
        <f>_xlfn.XLOOKUP(Table1[[#This Row],[Customer ID]],customers!$A$1:$A$1001,customers!$I$1:$I$1001,,0)</f>
        <v>No</v>
      </c>
    </row>
    <row r="148" spans="1:16" x14ac:dyDescent="0.2">
      <c r="A148" s="2" t="s">
        <v>1311</v>
      </c>
      <c r="B148" s="3">
        <v>44024</v>
      </c>
      <c r="C148" s="2" t="s">
        <v>1312</v>
      </c>
      <c r="D148" t="s">
        <v>6162</v>
      </c>
      <c r="E148" s="2">
        <v>3</v>
      </c>
      <c r="F148" s="2" t="str">
        <f>_xlfn.XLOOKUP(C148,customers!$A147:$A1147,customers!$B147:$B1147,,0)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5">
        <f>INDEX(products!$A$1:$G$49,MATCH(orders!$D148,products!$A$1:$A$49,0),MATCH(orders!K$1,products!$A$1:$G$1,0))</f>
        <v>1</v>
      </c>
      <c r="L148" s="7">
        <f>INDEX(products!$A$1:$G$49,MATCH(orders!$D148,products!$A$1:$A$49,0),MATCH(orders!L$1,products!$A$1:$G$1,0))</f>
        <v>14.55</v>
      </c>
      <c r="M148" s="7">
        <f t="shared" si="6"/>
        <v>43.650000000000006</v>
      </c>
      <c r="N148" t="str">
        <f t="shared" si="7"/>
        <v>Liberica</v>
      </c>
      <c r="O148" t="str">
        <f t="shared" si="8"/>
        <v>Medium</v>
      </c>
      <c r="P148" t="str">
        <f>_xlfn.XLOOKUP(Table1[[#This Row],[Customer ID]],customers!$A$1:$A$1001,customers!$I$1:$I$1001,,0)</f>
        <v>No</v>
      </c>
    </row>
    <row r="149" spans="1:16" x14ac:dyDescent="0.2">
      <c r="A149" s="2" t="s">
        <v>1311</v>
      </c>
      <c r="B149" s="3">
        <v>44024</v>
      </c>
      <c r="C149" s="2" t="s">
        <v>1312</v>
      </c>
      <c r="D149" t="s">
        <v>6141</v>
      </c>
      <c r="E149" s="2">
        <v>2</v>
      </c>
      <c r="F149" s="2" t="str">
        <f>_xlfn.XLOOKUP(C149,customers!$A148:$A1148,customers!$B148:$B1148,,0)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5">
        <f>INDEX(products!$A$1:$G$49,MATCH(orders!$D149,products!$A$1:$A$49,0),MATCH(orders!K$1,products!$A$1:$G$1,0))</f>
        <v>1</v>
      </c>
      <c r="L149" s="7">
        <f>INDEX(products!$A$1:$G$49,MATCH(orders!$D149,products!$A$1:$A$49,0),MATCH(orders!L$1,products!$A$1:$G$1,0))</f>
        <v>13.75</v>
      </c>
      <c r="M149" s="7">
        <f t="shared" si="6"/>
        <v>27.5</v>
      </c>
      <c r="N149" t="str">
        <f t="shared" si="7"/>
        <v>Excelsa</v>
      </c>
      <c r="O149" t="str">
        <f t="shared" si="8"/>
        <v>Medium</v>
      </c>
      <c r="P149" t="str">
        <f>_xlfn.XLOOKUP(Table1[[#This Row],[Customer ID]],customers!$A$1:$A$1001,customers!$I$1:$I$1001,,0)</f>
        <v>No</v>
      </c>
    </row>
    <row r="150" spans="1:16" x14ac:dyDescent="0.2">
      <c r="A150" s="2" t="s">
        <v>1322</v>
      </c>
      <c r="B150" s="3">
        <v>44551</v>
      </c>
      <c r="C150" s="2" t="s">
        <v>1323</v>
      </c>
      <c r="D150" t="s">
        <v>6153</v>
      </c>
      <c r="E150" s="2">
        <v>5</v>
      </c>
      <c r="F150" s="2" t="str">
        <f>_xlfn.XLOOKUP(C150,customers!$A149:$A1149,customers!$B149:$B1149,,0)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5">
        <f>INDEX(products!$A$1:$G$49,MATCH(orders!$D150,products!$A$1:$A$49,0),MATCH(orders!K$1,products!$A$1:$G$1,0))</f>
        <v>0.2</v>
      </c>
      <c r="L150" s="7">
        <f>INDEX(products!$A$1:$G$49,MATCH(orders!$D150,products!$A$1:$A$49,0),MATCH(orders!L$1,products!$A$1:$G$1,0))</f>
        <v>3.645</v>
      </c>
      <c r="M150" s="7">
        <f t="shared" si="6"/>
        <v>18.225000000000001</v>
      </c>
      <c r="N150" t="str">
        <f t="shared" si="7"/>
        <v>Excelsa</v>
      </c>
      <c r="O150" t="str">
        <f t="shared" si="8"/>
        <v>Dark</v>
      </c>
      <c r="P150" t="str">
        <f>_xlfn.XLOOKUP(Table1[[#This Row],[Customer ID]],customers!$A$1:$A$1001,customers!$I$1:$I$1001,,0)</f>
        <v>Yes</v>
      </c>
    </row>
    <row r="151" spans="1:16" x14ac:dyDescent="0.2">
      <c r="A151" s="2" t="s">
        <v>1328</v>
      </c>
      <c r="B151" s="3">
        <v>44108</v>
      </c>
      <c r="C151" s="2" t="s">
        <v>1329</v>
      </c>
      <c r="D151" t="s">
        <v>6175</v>
      </c>
      <c r="E151" s="2">
        <v>2</v>
      </c>
      <c r="F151" s="2" t="str">
        <f>_xlfn.XLOOKUP(C151,customers!$A150:$A1150,customers!$B150:$B1150,,0)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5">
        <f>INDEX(products!$A$1:$G$49,MATCH(orders!$D151,products!$A$1:$A$49,0),MATCH(orders!K$1,products!$A$1:$G$1,0))</f>
        <v>2.5</v>
      </c>
      <c r="L151" s="7">
        <f>INDEX(products!$A$1:$G$49,MATCH(orders!$D151,products!$A$1:$A$49,0),MATCH(orders!L$1,products!$A$1:$G$1,0))</f>
        <v>25.874999999999996</v>
      </c>
      <c r="M151" s="7">
        <f t="shared" si="6"/>
        <v>51.749999999999993</v>
      </c>
      <c r="N151" t="str">
        <f t="shared" si="7"/>
        <v>Arabica</v>
      </c>
      <c r="O151" t="str">
        <f t="shared" si="8"/>
        <v>Medium</v>
      </c>
      <c r="P151" t="str">
        <f>_xlfn.XLOOKUP(Table1[[#This Row],[Customer ID]],customers!$A$1:$A$1001,customers!$I$1:$I$1001,,0)</f>
        <v>Yes</v>
      </c>
    </row>
    <row r="152" spans="1:16" x14ac:dyDescent="0.2">
      <c r="A152" s="2" t="s">
        <v>1333</v>
      </c>
      <c r="B152" s="3">
        <v>44051</v>
      </c>
      <c r="C152" s="2" t="s">
        <v>1334</v>
      </c>
      <c r="D152" t="s">
        <v>6143</v>
      </c>
      <c r="E152" s="2">
        <v>1</v>
      </c>
      <c r="F152" s="2" t="str">
        <f>_xlfn.XLOOKUP(C152,customers!$A151:$A1151,customers!$B151:$B1151,,0)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5">
        <f>INDEX(products!$A$1:$G$49,MATCH(orders!$D152,products!$A$1:$A$49,0),MATCH(orders!K$1,products!$A$1:$G$1,0))</f>
        <v>1</v>
      </c>
      <c r="L152" s="7">
        <f>INDEX(products!$A$1:$G$49,MATCH(orders!$D152,products!$A$1:$A$49,0),MATCH(orders!L$1,products!$A$1:$G$1,0))</f>
        <v>12.95</v>
      </c>
      <c r="M152" s="7">
        <f t="shared" si="6"/>
        <v>12.95</v>
      </c>
      <c r="N152" t="str">
        <f t="shared" si="7"/>
        <v>Liberica</v>
      </c>
      <c r="O152" t="str">
        <f t="shared" si="8"/>
        <v>Dark</v>
      </c>
      <c r="P152" t="str">
        <f>_xlfn.XLOOKUP(Table1[[#This Row],[Customer ID]],customers!$A$1:$A$1001,customers!$I$1:$I$1001,,0)</f>
        <v>Yes</v>
      </c>
    </row>
    <row r="153" spans="1:16" x14ac:dyDescent="0.2">
      <c r="A153" s="2" t="s">
        <v>1339</v>
      </c>
      <c r="B153" s="3">
        <v>44115</v>
      </c>
      <c r="C153" s="2" t="s">
        <v>1340</v>
      </c>
      <c r="D153" t="s">
        <v>6155</v>
      </c>
      <c r="E153" s="2">
        <v>3</v>
      </c>
      <c r="F153" s="2" t="str">
        <f>_xlfn.XLOOKUP(C153,customers!$A152:$A1152,customers!$B152:$B1152,,0)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5">
        <f>INDEX(products!$A$1:$G$49,MATCH(orders!$D153,products!$A$1:$A$49,0),MATCH(orders!K$1,products!$A$1:$G$1,0))</f>
        <v>1</v>
      </c>
      <c r="L153" s="7">
        <f>INDEX(products!$A$1:$G$49,MATCH(orders!$D153,products!$A$1:$A$49,0),MATCH(orders!L$1,products!$A$1:$G$1,0))</f>
        <v>11.25</v>
      </c>
      <c r="M153" s="7">
        <f t="shared" si="6"/>
        <v>33.75</v>
      </c>
      <c r="N153" t="str">
        <f t="shared" si="7"/>
        <v>Arabica</v>
      </c>
      <c r="O153" t="str">
        <f t="shared" si="8"/>
        <v>Medium</v>
      </c>
      <c r="P153" t="str">
        <f>_xlfn.XLOOKUP(Table1[[#This Row],[Customer ID]],customers!$A$1:$A$1001,customers!$I$1:$I$1001,,0)</f>
        <v>Yes</v>
      </c>
    </row>
    <row r="154" spans="1:16" x14ac:dyDescent="0.2">
      <c r="A154" s="2" t="s">
        <v>1344</v>
      </c>
      <c r="B154" s="3">
        <v>44510</v>
      </c>
      <c r="C154" s="2" t="s">
        <v>1345</v>
      </c>
      <c r="D154" t="s">
        <v>6151</v>
      </c>
      <c r="E154" s="2">
        <v>3</v>
      </c>
      <c r="F154" s="2" t="str">
        <f>_xlfn.XLOOKUP(C154,customers!$A153:$A1153,customers!$B153:$B1153,,0)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5">
        <f>INDEX(products!$A$1:$G$49,MATCH(orders!$D154,products!$A$1:$A$49,0),MATCH(orders!K$1,products!$A$1:$G$1,0))</f>
        <v>2.5</v>
      </c>
      <c r="L154" s="7">
        <f>INDEX(products!$A$1:$G$49,MATCH(orders!$D154,products!$A$1:$A$49,0),MATCH(orders!L$1,products!$A$1:$G$1,0))</f>
        <v>22.884999999999998</v>
      </c>
      <c r="M154" s="7">
        <f t="shared" si="6"/>
        <v>68.655000000000001</v>
      </c>
      <c r="N154" t="str">
        <f t="shared" si="7"/>
        <v>Robusta</v>
      </c>
      <c r="O154" t="str">
        <f t="shared" si="8"/>
        <v>Medium</v>
      </c>
      <c r="P154" t="str">
        <f>_xlfn.XLOOKUP(Table1[[#This Row],[Customer ID]],customers!$A$1:$A$1001,customers!$I$1:$I$1001,,0)</f>
        <v>Yes</v>
      </c>
    </row>
    <row r="155" spans="1:16" x14ac:dyDescent="0.2">
      <c r="A155" s="2" t="s">
        <v>1350</v>
      </c>
      <c r="B155" s="3">
        <v>44367</v>
      </c>
      <c r="C155" s="2" t="s">
        <v>1351</v>
      </c>
      <c r="D155" t="s">
        <v>6163</v>
      </c>
      <c r="E155" s="2">
        <v>1</v>
      </c>
      <c r="F155" s="2" t="str">
        <f>_xlfn.XLOOKUP(C155,customers!$A154:$A1154,customers!$B154:$B1154,,0)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5">
        <f>INDEX(products!$A$1:$G$49,MATCH(orders!$D155,products!$A$1:$A$49,0),MATCH(orders!K$1,products!$A$1:$G$1,0))</f>
        <v>0.2</v>
      </c>
      <c r="L155" s="7">
        <f>INDEX(products!$A$1:$G$49,MATCH(orders!$D155,products!$A$1:$A$49,0),MATCH(orders!L$1,products!$A$1:$G$1,0))</f>
        <v>2.6849999999999996</v>
      </c>
      <c r="M155" s="7">
        <f t="shared" si="6"/>
        <v>2.6849999999999996</v>
      </c>
      <c r="N155" t="str">
        <f t="shared" si="7"/>
        <v>Robusta</v>
      </c>
      <c r="O155" t="str">
        <f t="shared" si="8"/>
        <v>Dark</v>
      </c>
      <c r="P155" t="str">
        <f>_xlfn.XLOOKUP(Table1[[#This Row],[Customer ID]],customers!$A$1:$A$1001,customers!$I$1:$I$1001,,0)</f>
        <v>No</v>
      </c>
    </row>
    <row r="156" spans="1:16" x14ac:dyDescent="0.2">
      <c r="A156" s="2" t="s">
        <v>1355</v>
      </c>
      <c r="B156" s="3">
        <v>44473</v>
      </c>
      <c r="C156" s="2" t="s">
        <v>1356</v>
      </c>
      <c r="D156" t="s">
        <v>6168</v>
      </c>
      <c r="E156" s="2">
        <v>5</v>
      </c>
      <c r="F156" s="2" t="str">
        <f>_xlfn.XLOOKUP(C156,customers!$A155:$A1155,customers!$B155:$B1155,,0)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5">
        <f>INDEX(products!$A$1:$G$49,MATCH(orders!$D156,products!$A$1:$A$49,0),MATCH(orders!K$1,products!$A$1:$G$1,0))</f>
        <v>2.5</v>
      </c>
      <c r="L156" s="7">
        <f>INDEX(products!$A$1:$G$49,MATCH(orders!$D156,products!$A$1:$A$49,0),MATCH(orders!L$1,products!$A$1:$G$1,0))</f>
        <v>22.884999999999998</v>
      </c>
      <c r="M156" s="7">
        <f t="shared" si="6"/>
        <v>114.42499999999998</v>
      </c>
      <c r="N156" t="str">
        <f t="shared" si="7"/>
        <v>Arabica</v>
      </c>
      <c r="O156" t="str">
        <f t="shared" si="8"/>
        <v>Dark</v>
      </c>
      <c r="P156" t="str">
        <f>_xlfn.XLOOKUP(Table1[[#This Row],[Customer ID]],customers!$A$1:$A$1001,customers!$I$1:$I$1001,,0)</f>
        <v>No</v>
      </c>
    </row>
    <row r="157" spans="1:16" x14ac:dyDescent="0.2">
      <c r="A157" s="2" t="s">
        <v>1361</v>
      </c>
      <c r="B157" s="3">
        <v>43640</v>
      </c>
      <c r="C157" s="2" t="s">
        <v>1362</v>
      </c>
      <c r="D157" t="s">
        <v>6175</v>
      </c>
      <c r="E157" s="2">
        <v>6</v>
      </c>
      <c r="F157" s="2" t="str">
        <f>_xlfn.XLOOKUP(C157,customers!$A156:$A1156,customers!$B156:$B1156,,0)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5">
        <f>INDEX(products!$A$1:$G$49,MATCH(orders!$D157,products!$A$1:$A$49,0),MATCH(orders!K$1,products!$A$1:$G$1,0))</f>
        <v>2.5</v>
      </c>
      <c r="L157" s="7">
        <f>INDEX(products!$A$1:$G$49,MATCH(orders!$D157,products!$A$1:$A$49,0),MATCH(orders!L$1,products!$A$1:$G$1,0))</f>
        <v>25.874999999999996</v>
      </c>
      <c r="M157" s="7">
        <f t="shared" si="6"/>
        <v>155.24999999999997</v>
      </c>
      <c r="N157" t="str">
        <f t="shared" si="7"/>
        <v>Arabica</v>
      </c>
      <c r="O157" t="str">
        <f t="shared" si="8"/>
        <v>Medium</v>
      </c>
      <c r="P157" t="str">
        <f>_xlfn.XLOOKUP(Table1[[#This Row],[Customer ID]],customers!$A$1:$A$1001,customers!$I$1:$I$1001,,0)</f>
        <v>Yes</v>
      </c>
    </row>
    <row r="158" spans="1:16" x14ac:dyDescent="0.2">
      <c r="A158" s="2" t="s">
        <v>1367</v>
      </c>
      <c r="B158" s="3">
        <v>43764</v>
      </c>
      <c r="C158" s="2" t="s">
        <v>1368</v>
      </c>
      <c r="D158" t="s">
        <v>6175</v>
      </c>
      <c r="E158" s="2">
        <v>3</v>
      </c>
      <c r="F158" s="2" t="str">
        <f>_xlfn.XLOOKUP(C158,customers!$A157:$A1157,customers!$B157:$B1157,,0)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5">
        <f>INDEX(products!$A$1:$G$49,MATCH(orders!$D158,products!$A$1:$A$49,0),MATCH(orders!K$1,products!$A$1:$G$1,0))</f>
        <v>2.5</v>
      </c>
      <c r="L158" s="7">
        <f>INDEX(products!$A$1:$G$49,MATCH(orders!$D158,products!$A$1:$A$49,0),MATCH(orders!L$1,products!$A$1:$G$1,0))</f>
        <v>25.874999999999996</v>
      </c>
      <c r="M158" s="7">
        <f t="shared" si="6"/>
        <v>77.624999999999986</v>
      </c>
      <c r="N158" t="str">
        <f t="shared" si="7"/>
        <v>Arabica</v>
      </c>
      <c r="O158" t="str">
        <f t="shared" si="8"/>
        <v>Medium</v>
      </c>
      <c r="P158" t="str">
        <f>_xlfn.XLOOKUP(Table1[[#This Row],[Customer ID]],customers!$A$1:$A$1001,customers!$I$1:$I$1001,,0)</f>
        <v>Yes</v>
      </c>
    </row>
    <row r="159" spans="1:16" x14ac:dyDescent="0.2">
      <c r="A159" s="2" t="s">
        <v>1373</v>
      </c>
      <c r="B159" s="3">
        <v>44374</v>
      </c>
      <c r="C159" s="2" t="s">
        <v>1374</v>
      </c>
      <c r="D159" t="s">
        <v>6149</v>
      </c>
      <c r="E159" s="2">
        <v>3</v>
      </c>
      <c r="F159" s="2" t="str">
        <f>_xlfn.XLOOKUP(C159,customers!$A158:$A1158,customers!$B158:$B1158,,0)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5">
        <f>INDEX(products!$A$1:$G$49,MATCH(orders!$D159,products!$A$1:$A$49,0),MATCH(orders!K$1,products!$A$1:$G$1,0))</f>
        <v>2.5</v>
      </c>
      <c r="L159" s="7">
        <f>INDEX(products!$A$1:$G$49,MATCH(orders!$D159,products!$A$1:$A$49,0),MATCH(orders!L$1,products!$A$1:$G$1,0))</f>
        <v>20.584999999999997</v>
      </c>
      <c r="M159" s="7">
        <f t="shared" si="6"/>
        <v>61.754999999999995</v>
      </c>
      <c r="N159" t="str">
        <f t="shared" si="7"/>
        <v>Robusta</v>
      </c>
      <c r="O159" t="str">
        <f t="shared" si="8"/>
        <v>Dark</v>
      </c>
      <c r="P159" t="str">
        <f>_xlfn.XLOOKUP(Table1[[#This Row],[Customer ID]],customers!$A$1:$A$1001,customers!$I$1:$I$1001,,0)</f>
        <v>No</v>
      </c>
    </row>
    <row r="160" spans="1:16" x14ac:dyDescent="0.2">
      <c r="A160" s="2" t="s">
        <v>1379</v>
      </c>
      <c r="B160" s="3">
        <v>43714</v>
      </c>
      <c r="C160" s="2" t="s">
        <v>1380</v>
      </c>
      <c r="D160" t="s">
        <v>6149</v>
      </c>
      <c r="E160" s="2">
        <v>6</v>
      </c>
      <c r="F160" s="2" t="str">
        <f>_xlfn.XLOOKUP(C160,customers!$A159:$A1159,customers!$B159:$B1159,,0)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5">
        <f>INDEX(products!$A$1:$G$49,MATCH(orders!$D160,products!$A$1:$A$49,0),MATCH(orders!K$1,products!$A$1:$G$1,0))</f>
        <v>2.5</v>
      </c>
      <c r="L160" s="7">
        <f>INDEX(products!$A$1:$G$49,MATCH(orders!$D160,products!$A$1:$A$49,0),MATCH(orders!L$1,products!$A$1:$G$1,0))</f>
        <v>20.584999999999997</v>
      </c>
      <c r="M160" s="7">
        <f t="shared" si="6"/>
        <v>123.50999999999999</v>
      </c>
      <c r="N160" t="str">
        <f t="shared" si="7"/>
        <v>Robusta</v>
      </c>
      <c r="O160" t="str">
        <f t="shared" si="8"/>
        <v>Dark</v>
      </c>
      <c r="P160" t="str">
        <f>_xlfn.XLOOKUP(Table1[[#This Row],[Customer ID]],customers!$A$1:$A$1001,customers!$I$1:$I$1001,,0)</f>
        <v>Yes</v>
      </c>
    </row>
    <row r="161" spans="1:16" x14ac:dyDescent="0.2">
      <c r="A161" s="2" t="s">
        <v>1384</v>
      </c>
      <c r="B161" s="3">
        <v>44316</v>
      </c>
      <c r="C161" s="2" t="s">
        <v>1385</v>
      </c>
      <c r="D161" t="s">
        <v>6164</v>
      </c>
      <c r="E161" s="2">
        <v>6</v>
      </c>
      <c r="F161" s="2" t="str">
        <f>_xlfn.XLOOKUP(C161,customers!$A160:$A1160,customers!$B160:$B1160,,0)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5">
        <f>INDEX(products!$A$1:$G$49,MATCH(orders!$D161,products!$A$1:$A$49,0),MATCH(orders!K$1,products!$A$1:$G$1,0))</f>
        <v>2.5</v>
      </c>
      <c r="L161" s="7">
        <f>INDEX(products!$A$1:$G$49,MATCH(orders!$D161,products!$A$1:$A$49,0),MATCH(orders!L$1,products!$A$1:$G$1,0))</f>
        <v>36.454999999999998</v>
      </c>
      <c r="M161" s="7">
        <f t="shared" si="6"/>
        <v>218.73</v>
      </c>
      <c r="N161" t="str">
        <f t="shared" si="7"/>
        <v>Liberica</v>
      </c>
      <c r="O161" t="str">
        <f t="shared" si="8"/>
        <v>Light</v>
      </c>
      <c r="P161" t="str">
        <f>_xlfn.XLOOKUP(Table1[[#This Row],[Customer ID]],customers!$A$1:$A$1001,customers!$I$1:$I$1001,,0)</f>
        <v>No</v>
      </c>
    </row>
    <row r="162" spans="1:16" x14ac:dyDescent="0.2">
      <c r="A162" s="2" t="s">
        <v>1389</v>
      </c>
      <c r="B162" s="3">
        <v>43837</v>
      </c>
      <c r="C162" s="2" t="s">
        <v>1390</v>
      </c>
      <c r="D162" t="s">
        <v>6139</v>
      </c>
      <c r="E162" s="2">
        <v>4</v>
      </c>
      <c r="F162" s="2" t="str">
        <f>_xlfn.XLOOKUP(C162,customers!$A161:$A1161,customers!$B161:$B1161,,0)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5">
        <f>INDEX(products!$A$1:$G$49,MATCH(orders!$D162,products!$A$1:$A$49,0),MATCH(orders!K$1,products!$A$1:$G$1,0))</f>
        <v>0.5</v>
      </c>
      <c r="L162" s="7">
        <f>INDEX(products!$A$1:$G$49,MATCH(orders!$D162,products!$A$1:$A$49,0),MATCH(orders!L$1,products!$A$1:$G$1,0))</f>
        <v>8.25</v>
      </c>
      <c r="M162" s="7">
        <f t="shared" si="6"/>
        <v>33</v>
      </c>
      <c r="N162" t="str">
        <f t="shared" si="7"/>
        <v>Excelsa</v>
      </c>
      <c r="O162" t="str">
        <f t="shared" si="8"/>
        <v>Medium</v>
      </c>
      <c r="P162" t="str">
        <f>_xlfn.XLOOKUP(Table1[[#This Row],[Customer ID]],customers!$A$1:$A$1001,customers!$I$1:$I$1001,,0)</f>
        <v>No</v>
      </c>
    </row>
    <row r="163" spans="1:16" x14ac:dyDescent="0.2">
      <c r="A163" s="2" t="s">
        <v>1395</v>
      </c>
      <c r="B163" s="3">
        <v>44207</v>
      </c>
      <c r="C163" s="2" t="s">
        <v>1396</v>
      </c>
      <c r="D163" t="s">
        <v>6180</v>
      </c>
      <c r="E163" s="2">
        <v>3</v>
      </c>
      <c r="F163" s="2" t="str">
        <f>_xlfn.XLOOKUP(C163,customers!$A162:$A1162,customers!$B162:$B1162,,0)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5">
        <f>INDEX(products!$A$1:$G$49,MATCH(orders!$D163,products!$A$1:$A$49,0),MATCH(orders!K$1,products!$A$1:$G$1,0))</f>
        <v>0.5</v>
      </c>
      <c r="L163" s="7">
        <f>INDEX(products!$A$1:$G$49,MATCH(orders!$D163,products!$A$1:$A$49,0),MATCH(orders!L$1,products!$A$1:$G$1,0))</f>
        <v>7.77</v>
      </c>
      <c r="M163" s="7">
        <f t="shared" si="6"/>
        <v>23.31</v>
      </c>
      <c r="N163" t="str">
        <f t="shared" si="7"/>
        <v>Arabica</v>
      </c>
      <c r="O163" t="str">
        <f t="shared" si="8"/>
        <v>Light</v>
      </c>
      <c r="P163" t="str">
        <f>_xlfn.XLOOKUP(Table1[[#This Row],[Customer ID]],customers!$A$1:$A$1001,customers!$I$1:$I$1001,,0)</f>
        <v>No</v>
      </c>
    </row>
    <row r="164" spans="1:16" x14ac:dyDescent="0.2">
      <c r="A164" s="2" t="s">
        <v>1401</v>
      </c>
      <c r="B164" s="3">
        <v>44515</v>
      </c>
      <c r="C164" s="2" t="s">
        <v>1402</v>
      </c>
      <c r="D164" t="s">
        <v>6144</v>
      </c>
      <c r="E164" s="2">
        <v>3</v>
      </c>
      <c r="F164" s="2" t="str">
        <f>_xlfn.XLOOKUP(C164,customers!$A163:$A1163,customers!$B163:$B1163,,0)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5">
        <f>INDEX(products!$A$1:$G$49,MATCH(orders!$D164,products!$A$1:$A$49,0),MATCH(orders!K$1,products!$A$1:$G$1,0))</f>
        <v>0.5</v>
      </c>
      <c r="L164" s="7">
        <f>INDEX(products!$A$1:$G$49,MATCH(orders!$D164,products!$A$1:$A$49,0),MATCH(orders!L$1,products!$A$1:$G$1,0))</f>
        <v>7.29</v>
      </c>
      <c r="M164" s="7">
        <f t="shared" si="6"/>
        <v>21.87</v>
      </c>
      <c r="N164" t="str">
        <f t="shared" si="7"/>
        <v>Excelsa</v>
      </c>
      <c r="O164" t="str">
        <f t="shared" si="8"/>
        <v>Dark</v>
      </c>
      <c r="P164" t="str">
        <f>_xlfn.XLOOKUP(Table1[[#This Row],[Customer ID]],customers!$A$1:$A$1001,customers!$I$1:$I$1001,,0)</f>
        <v>Yes</v>
      </c>
    </row>
    <row r="165" spans="1:16" x14ac:dyDescent="0.2">
      <c r="A165" s="2" t="s">
        <v>1407</v>
      </c>
      <c r="B165" s="3">
        <v>43619</v>
      </c>
      <c r="C165" s="2" t="s">
        <v>1408</v>
      </c>
      <c r="D165" t="s">
        <v>6163</v>
      </c>
      <c r="E165" s="2">
        <v>6</v>
      </c>
      <c r="F165" s="2" t="str">
        <f>_xlfn.XLOOKUP(C165,customers!$A164:$A1164,customers!$B164:$B1164,,0)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5">
        <f>INDEX(products!$A$1:$G$49,MATCH(orders!$D165,products!$A$1:$A$49,0),MATCH(orders!K$1,products!$A$1:$G$1,0))</f>
        <v>0.2</v>
      </c>
      <c r="L165" s="7">
        <f>INDEX(products!$A$1:$G$49,MATCH(orders!$D165,products!$A$1:$A$49,0),MATCH(orders!L$1,products!$A$1:$G$1,0))</f>
        <v>2.6849999999999996</v>
      </c>
      <c r="M165" s="7">
        <f t="shared" si="6"/>
        <v>16.11</v>
      </c>
      <c r="N165" t="str">
        <f t="shared" si="7"/>
        <v>Robusta</v>
      </c>
      <c r="O165" t="str">
        <f t="shared" si="8"/>
        <v>Dark</v>
      </c>
      <c r="P165" t="str">
        <f>_xlfn.XLOOKUP(Table1[[#This Row],[Customer ID]],customers!$A$1:$A$1001,customers!$I$1:$I$1001,,0)</f>
        <v>No</v>
      </c>
    </row>
    <row r="166" spans="1:16" x14ac:dyDescent="0.2">
      <c r="A166" s="2" t="s">
        <v>1413</v>
      </c>
      <c r="B166" s="3">
        <v>44182</v>
      </c>
      <c r="C166" s="2" t="s">
        <v>1414</v>
      </c>
      <c r="D166" t="s">
        <v>6144</v>
      </c>
      <c r="E166" s="2">
        <v>4</v>
      </c>
      <c r="F166" s="2" t="str">
        <f>_xlfn.XLOOKUP(C166,customers!$A165:$A1165,customers!$B165:$B1165,,0)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5">
        <f>INDEX(products!$A$1:$G$49,MATCH(orders!$D166,products!$A$1:$A$49,0),MATCH(orders!K$1,products!$A$1:$G$1,0))</f>
        <v>0.5</v>
      </c>
      <c r="L166" s="7">
        <f>INDEX(products!$A$1:$G$49,MATCH(orders!$D166,products!$A$1:$A$49,0),MATCH(orders!L$1,products!$A$1:$G$1,0))</f>
        <v>7.29</v>
      </c>
      <c r="M166" s="7">
        <f t="shared" si="6"/>
        <v>29.16</v>
      </c>
      <c r="N166" t="str">
        <f t="shared" si="7"/>
        <v>Excelsa</v>
      </c>
      <c r="O166" t="str">
        <f t="shared" si="8"/>
        <v>Dark</v>
      </c>
      <c r="P166" t="str">
        <f>_xlfn.XLOOKUP(Table1[[#This Row],[Customer ID]],customers!$A$1:$A$1001,customers!$I$1:$I$1001,,0)</f>
        <v>No</v>
      </c>
    </row>
    <row r="167" spans="1:16" x14ac:dyDescent="0.2">
      <c r="A167" s="2" t="s">
        <v>1420</v>
      </c>
      <c r="B167" s="3">
        <v>44234</v>
      </c>
      <c r="C167" s="2" t="s">
        <v>1421</v>
      </c>
      <c r="D167" t="s">
        <v>6177</v>
      </c>
      <c r="E167" s="2">
        <v>6</v>
      </c>
      <c r="F167" s="2" t="str">
        <f>_xlfn.XLOOKUP(C167,customers!$A166:$A1166,customers!$B166:$B1166,,0)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5">
        <f>INDEX(products!$A$1:$G$49,MATCH(orders!$D167,products!$A$1:$A$49,0),MATCH(orders!K$1,products!$A$1:$G$1,0))</f>
        <v>1</v>
      </c>
      <c r="L167" s="7">
        <f>INDEX(products!$A$1:$G$49,MATCH(orders!$D167,products!$A$1:$A$49,0),MATCH(orders!L$1,products!$A$1:$G$1,0))</f>
        <v>8.9499999999999993</v>
      </c>
      <c r="M167" s="7">
        <f t="shared" si="6"/>
        <v>53.699999999999996</v>
      </c>
      <c r="N167" t="str">
        <f t="shared" si="7"/>
        <v>Robusta</v>
      </c>
      <c r="O167" t="str">
        <f t="shared" si="8"/>
        <v>Dark</v>
      </c>
      <c r="P167" t="str">
        <f>_xlfn.XLOOKUP(Table1[[#This Row],[Customer ID]],customers!$A$1:$A$1001,customers!$I$1:$I$1001,,0)</f>
        <v>Yes</v>
      </c>
    </row>
    <row r="168" spans="1:16" x14ac:dyDescent="0.2">
      <c r="A168" s="2" t="s">
        <v>1425</v>
      </c>
      <c r="B168" s="3">
        <v>44270</v>
      </c>
      <c r="C168" s="2" t="s">
        <v>1426</v>
      </c>
      <c r="D168" t="s">
        <v>6172</v>
      </c>
      <c r="E168" s="2">
        <v>5</v>
      </c>
      <c r="F168" s="2" t="str">
        <f>_xlfn.XLOOKUP(C168,customers!$A167:$A1167,customers!$B167:$B1167,,0)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5">
        <f>INDEX(products!$A$1:$G$49,MATCH(orders!$D168,products!$A$1:$A$49,0),MATCH(orders!K$1,products!$A$1:$G$1,0))</f>
        <v>0.5</v>
      </c>
      <c r="L168" s="7">
        <f>INDEX(products!$A$1:$G$49,MATCH(orders!$D168,products!$A$1:$A$49,0),MATCH(orders!L$1,products!$A$1:$G$1,0))</f>
        <v>5.3699999999999992</v>
      </c>
      <c r="M168" s="7">
        <f t="shared" si="6"/>
        <v>26.849999999999994</v>
      </c>
      <c r="N168" t="str">
        <f t="shared" si="7"/>
        <v>Robusta</v>
      </c>
      <c r="O168" t="str">
        <f t="shared" si="8"/>
        <v>Dark</v>
      </c>
      <c r="P168" t="str">
        <f>_xlfn.XLOOKUP(Table1[[#This Row],[Customer ID]],customers!$A$1:$A$1001,customers!$I$1:$I$1001,,0)</f>
        <v>Yes</v>
      </c>
    </row>
    <row r="169" spans="1:16" x14ac:dyDescent="0.2">
      <c r="A169" s="2" t="s">
        <v>1430</v>
      </c>
      <c r="B169" s="3">
        <v>44777</v>
      </c>
      <c r="C169" s="2" t="s">
        <v>1431</v>
      </c>
      <c r="D169" t="s">
        <v>6139</v>
      </c>
      <c r="E169" s="2">
        <v>5</v>
      </c>
      <c r="F169" s="2" t="str">
        <f>_xlfn.XLOOKUP(C169,customers!$A168:$A1168,customers!$B168:$B1168,,0)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5">
        <f>INDEX(products!$A$1:$G$49,MATCH(orders!$D169,products!$A$1:$A$49,0),MATCH(orders!K$1,products!$A$1:$G$1,0))</f>
        <v>0.5</v>
      </c>
      <c r="L169" s="7">
        <f>INDEX(products!$A$1:$G$49,MATCH(orders!$D169,products!$A$1:$A$49,0),MATCH(orders!L$1,products!$A$1:$G$1,0))</f>
        <v>8.25</v>
      </c>
      <c r="M169" s="7">
        <f t="shared" si="6"/>
        <v>41.25</v>
      </c>
      <c r="N169" t="str">
        <f t="shared" si="7"/>
        <v>Excelsa</v>
      </c>
      <c r="O169" t="str">
        <f t="shared" si="8"/>
        <v>Medium</v>
      </c>
      <c r="P169" t="str">
        <f>_xlfn.XLOOKUP(Table1[[#This Row],[Customer ID]],customers!$A$1:$A$1001,customers!$I$1:$I$1001,,0)</f>
        <v>Yes</v>
      </c>
    </row>
    <row r="170" spans="1:16" x14ac:dyDescent="0.2">
      <c r="A170" s="2" t="s">
        <v>1436</v>
      </c>
      <c r="B170" s="3">
        <v>43484</v>
      </c>
      <c r="C170" s="2" t="s">
        <v>1437</v>
      </c>
      <c r="D170" t="s">
        <v>6157</v>
      </c>
      <c r="E170" s="2">
        <v>6</v>
      </c>
      <c r="F170" s="2" t="str">
        <f>_xlfn.XLOOKUP(C170,customers!$A169:$A1169,customers!$B169:$B1169,,0)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5">
        <f>INDEX(products!$A$1:$G$49,MATCH(orders!$D170,products!$A$1:$A$49,0),MATCH(orders!K$1,products!$A$1:$G$1,0))</f>
        <v>0.5</v>
      </c>
      <c r="L170" s="7">
        <f>INDEX(products!$A$1:$G$49,MATCH(orders!$D170,products!$A$1:$A$49,0),MATCH(orders!L$1,products!$A$1:$G$1,0))</f>
        <v>6.75</v>
      </c>
      <c r="M170" s="7">
        <f t="shared" si="6"/>
        <v>40.5</v>
      </c>
      <c r="N170" t="str">
        <f t="shared" si="7"/>
        <v>Arabica</v>
      </c>
      <c r="O170" t="str">
        <f t="shared" si="8"/>
        <v>Medium</v>
      </c>
      <c r="P170" t="str">
        <f>_xlfn.XLOOKUP(Table1[[#This Row],[Customer ID]],customers!$A$1:$A$1001,customers!$I$1:$I$1001,,0)</f>
        <v>No</v>
      </c>
    </row>
    <row r="171" spans="1:16" x14ac:dyDescent="0.2">
      <c r="A171" s="2" t="s">
        <v>1441</v>
      </c>
      <c r="B171" s="3">
        <v>44643</v>
      </c>
      <c r="C171" s="2" t="s">
        <v>1442</v>
      </c>
      <c r="D171" t="s">
        <v>6177</v>
      </c>
      <c r="E171" s="2">
        <v>2</v>
      </c>
      <c r="F171" s="2" t="str">
        <f>_xlfn.XLOOKUP(C171,customers!$A170:$A1170,customers!$B170:$B1170,,0)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5">
        <f>INDEX(products!$A$1:$G$49,MATCH(orders!$D171,products!$A$1:$A$49,0),MATCH(orders!K$1,products!$A$1:$G$1,0))</f>
        <v>1</v>
      </c>
      <c r="L171" s="7">
        <f>INDEX(products!$A$1:$G$49,MATCH(orders!$D171,products!$A$1:$A$49,0),MATCH(orders!L$1,products!$A$1:$G$1,0))</f>
        <v>8.9499999999999993</v>
      </c>
      <c r="M171" s="7">
        <f t="shared" si="6"/>
        <v>17.899999999999999</v>
      </c>
      <c r="N171" t="str">
        <f t="shared" si="7"/>
        <v>Robusta</v>
      </c>
      <c r="O171" t="str">
        <f t="shared" si="8"/>
        <v>Dark</v>
      </c>
      <c r="P171" t="str">
        <f>_xlfn.XLOOKUP(Table1[[#This Row],[Customer ID]],customers!$A$1:$A$1001,customers!$I$1:$I$1001,,0)</f>
        <v>No</v>
      </c>
    </row>
    <row r="172" spans="1:16" x14ac:dyDescent="0.2">
      <c r="A172" s="2" t="s">
        <v>1448</v>
      </c>
      <c r="B172" s="3">
        <v>44476</v>
      </c>
      <c r="C172" s="2" t="s">
        <v>1449</v>
      </c>
      <c r="D172" t="s">
        <v>6148</v>
      </c>
      <c r="E172" s="2">
        <v>2</v>
      </c>
      <c r="F172" s="2" t="str">
        <f>_xlfn.XLOOKUP(C172,customers!$A171:$A1171,customers!$B171:$B1171,,0)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5">
        <f>INDEX(products!$A$1:$G$49,MATCH(orders!$D172,products!$A$1:$A$49,0),MATCH(orders!K$1,products!$A$1:$G$1,0))</f>
        <v>2.5</v>
      </c>
      <c r="L172" s="7">
        <f>INDEX(products!$A$1:$G$49,MATCH(orders!$D172,products!$A$1:$A$49,0),MATCH(orders!L$1,products!$A$1:$G$1,0))</f>
        <v>34.154999999999994</v>
      </c>
      <c r="M172" s="7">
        <f t="shared" si="6"/>
        <v>68.309999999999988</v>
      </c>
      <c r="N172" t="str">
        <f t="shared" si="7"/>
        <v>Excelsa</v>
      </c>
      <c r="O172" t="str">
        <f t="shared" si="8"/>
        <v>Light</v>
      </c>
      <c r="P172" t="str">
        <f>_xlfn.XLOOKUP(Table1[[#This Row],[Customer ID]],customers!$A$1:$A$1001,customers!$I$1:$I$1001,,0)</f>
        <v>No</v>
      </c>
    </row>
    <row r="173" spans="1:16" x14ac:dyDescent="0.2">
      <c r="A173" s="2" t="s">
        <v>1453</v>
      </c>
      <c r="B173" s="3">
        <v>43544</v>
      </c>
      <c r="C173" s="2" t="s">
        <v>1454</v>
      </c>
      <c r="D173" t="s">
        <v>6166</v>
      </c>
      <c r="E173" s="2">
        <v>2</v>
      </c>
      <c r="F173" s="2" t="str">
        <f>_xlfn.XLOOKUP(C173,customers!$A172:$A1172,customers!$B172:$B1172,,0)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5">
        <f>INDEX(products!$A$1:$G$49,MATCH(orders!$D173,products!$A$1:$A$49,0),MATCH(orders!K$1,products!$A$1:$G$1,0))</f>
        <v>2.5</v>
      </c>
      <c r="L173" s="7">
        <f>INDEX(products!$A$1:$G$49,MATCH(orders!$D173,products!$A$1:$A$49,0),MATCH(orders!L$1,products!$A$1:$G$1,0))</f>
        <v>31.624999999999996</v>
      </c>
      <c r="M173" s="7">
        <f t="shared" si="6"/>
        <v>63.249999999999993</v>
      </c>
      <c r="N173" t="str">
        <f t="shared" si="7"/>
        <v>Excelsa</v>
      </c>
      <c r="O173" t="str">
        <f t="shared" si="8"/>
        <v>Medium</v>
      </c>
      <c r="P173" t="str">
        <f>_xlfn.XLOOKUP(Table1[[#This Row],[Customer ID]],customers!$A$1:$A$1001,customers!$I$1:$I$1001,,0)</f>
        <v>Yes</v>
      </c>
    </row>
    <row r="174" spans="1:16" x14ac:dyDescent="0.2">
      <c r="A174" s="2" t="s">
        <v>1459</v>
      </c>
      <c r="B174" s="3">
        <v>44545</v>
      </c>
      <c r="C174" s="2" t="s">
        <v>1460</v>
      </c>
      <c r="D174" t="s">
        <v>6144</v>
      </c>
      <c r="E174" s="2">
        <v>3</v>
      </c>
      <c r="F174" s="2" t="str">
        <f>_xlfn.XLOOKUP(C174,customers!$A173:$A1173,customers!$B173:$B1173,,0)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5">
        <f>INDEX(products!$A$1:$G$49,MATCH(orders!$D174,products!$A$1:$A$49,0),MATCH(orders!K$1,products!$A$1:$G$1,0))</f>
        <v>0.5</v>
      </c>
      <c r="L174" s="7">
        <f>INDEX(products!$A$1:$G$49,MATCH(orders!$D174,products!$A$1:$A$49,0),MATCH(orders!L$1,products!$A$1:$G$1,0))</f>
        <v>7.29</v>
      </c>
      <c r="M174" s="7">
        <f t="shared" si="6"/>
        <v>21.87</v>
      </c>
      <c r="N174" t="str">
        <f t="shared" si="7"/>
        <v>Excelsa</v>
      </c>
      <c r="O174" t="str">
        <f t="shared" si="8"/>
        <v>Dark</v>
      </c>
      <c r="P174" t="str">
        <f>_xlfn.XLOOKUP(Table1[[#This Row],[Customer ID]],customers!$A$1:$A$1001,customers!$I$1:$I$1001,,0)</f>
        <v>No</v>
      </c>
    </row>
    <row r="175" spans="1:16" x14ac:dyDescent="0.2">
      <c r="A175" s="2" t="s">
        <v>1464</v>
      </c>
      <c r="B175" s="3">
        <v>44720</v>
      </c>
      <c r="C175" s="2" t="s">
        <v>1465</v>
      </c>
      <c r="D175" t="s">
        <v>6151</v>
      </c>
      <c r="E175" s="2">
        <v>4</v>
      </c>
      <c r="F175" s="2" t="str">
        <f>_xlfn.XLOOKUP(C175,customers!$A174:$A1174,customers!$B174:$B1174,,0)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5">
        <f>INDEX(products!$A$1:$G$49,MATCH(orders!$D175,products!$A$1:$A$49,0),MATCH(orders!K$1,products!$A$1:$G$1,0))</f>
        <v>2.5</v>
      </c>
      <c r="L175" s="7">
        <f>INDEX(products!$A$1:$G$49,MATCH(orders!$D175,products!$A$1:$A$49,0),MATCH(orders!L$1,products!$A$1:$G$1,0))</f>
        <v>22.884999999999998</v>
      </c>
      <c r="M175" s="7">
        <f t="shared" si="6"/>
        <v>91.539999999999992</v>
      </c>
      <c r="N175" t="str">
        <f t="shared" si="7"/>
        <v>Robusta</v>
      </c>
      <c r="O175" t="str">
        <f t="shared" si="8"/>
        <v>Medium</v>
      </c>
      <c r="P175" t="str">
        <f>_xlfn.XLOOKUP(Table1[[#This Row],[Customer ID]],customers!$A$1:$A$1001,customers!$I$1:$I$1001,,0)</f>
        <v>No</v>
      </c>
    </row>
    <row r="176" spans="1:16" x14ac:dyDescent="0.2">
      <c r="A176" s="2" t="s">
        <v>1470</v>
      </c>
      <c r="B176" s="3">
        <v>43813</v>
      </c>
      <c r="C176" s="2" t="s">
        <v>1471</v>
      </c>
      <c r="D176" t="s">
        <v>6148</v>
      </c>
      <c r="E176" s="2">
        <v>6</v>
      </c>
      <c r="F176" s="2" t="str">
        <f>_xlfn.XLOOKUP(C176,customers!$A175:$A1175,customers!$B175:$B1175,,0)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5">
        <f>INDEX(products!$A$1:$G$49,MATCH(orders!$D176,products!$A$1:$A$49,0),MATCH(orders!K$1,products!$A$1:$G$1,0))</f>
        <v>2.5</v>
      </c>
      <c r="L176" s="7">
        <f>INDEX(products!$A$1:$G$49,MATCH(orders!$D176,products!$A$1:$A$49,0),MATCH(orders!L$1,products!$A$1:$G$1,0))</f>
        <v>34.154999999999994</v>
      </c>
      <c r="M176" s="7">
        <f t="shared" si="6"/>
        <v>204.92999999999995</v>
      </c>
      <c r="N176" t="str">
        <f t="shared" si="7"/>
        <v>Excelsa</v>
      </c>
      <c r="O176" t="str">
        <f t="shared" si="8"/>
        <v>Light</v>
      </c>
      <c r="P176" t="str">
        <f>_xlfn.XLOOKUP(Table1[[#This Row],[Customer ID]],customers!$A$1:$A$1001,customers!$I$1:$I$1001,,0)</f>
        <v>Yes</v>
      </c>
    </row>
    <row r="177" spans="1:16" x14ac:dyDescent="0.2">
      <c r="A177" s="2" t="s">
        <v>1475</v>
      </c>
      <c r="B177" s="3">
        <v>44296</v>
      </c>
      <c r="C177" s="2" t="s">
        <v>1476</v>
      </c>
      <c r="D177" t="s">
        <v>6166</v>
      </c>
      <c r="E177" s="2">
        <v>2</v>
      </c>
      <c r="F177" s="2" t="str">
        <f>_xlfn.XLOOKUP(C177,customers!$A176:$A1176,customers!$B176:$B1176,,0)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5">
        <f>INDEX(products!$A$1:$G$49,MATCH(orders!$D177,products!$A$1:$A$49,0),MATCH(orders!K$1,products!$A$1:$G$1,0))</f>
        <v>2.5</v>
      </c>
      <c r="L177" s="7">
        <f>INDEX(products!$A$1:$G$49,MATCH(orders!$D177,products!$A$1:$A$49,0),MATCH(orders!L$1,products!$A$1:$G$1,0))</f>
        <v>31.624999999999996</v>
      </c>
      <c r="M177" s="7">
        <f t="shared" si="6"/>
        <v>63.249999999999993</v>
      </c>
      <c r="N177" t="str">
        <f t="shared" si="7"/>
        <v>Excelsa</v>
      </c>
      <c r="O177" t="str">
        <f t="shared" si="8"/>
        <v>Medium</v>
      </c>
      <c r="P177" t="str">
        <f>_xlfn.XLOOKUP(Table1[[#This Row],[Customer ID]],customers!$A$1:$A$1001,customers!$I$1:$I$1001,,0)</f>
        <v>Yes</v>
      </c>
    </row>
    <row r="178" spans="1:16" x14ac:dyDescent="0.2">
      <c r="A178" s="2" t="s">
        <v>1481</v>
      </c>
      <c r="B178" s="3">
        <v>43900</v>
      </c>
      <c r="C178" s="2" t="s">
        <v>1482</v>
      </c>
      <c r="D178" t="s">
        <v>6148</v>
      </c>
      <c r="E178" s="2">
        <v>1</v>
      </c>
      <c r="F178" s="2" t="str">
        <f>_xlfn.XLOOKUP(C178,customers!$A177:$A1177,customers!$B177:$B1177,,0)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5">
        <f>INDEX(products!$A$1:$G$49,MATCH(orders!$D178,products!$A$1:$A$49,0),MATCH(orders!K$1,products!$A$1:$G$1,0))</f>
        <v>2.5</v>
      </c>
      <c r="L178" s="7">
        <f>INDEX(products!$A$1:$G$49,MATCH(orders!$D178,products!$A$1:$A$49,0),MATCH(orders!L$1,products!$A$1:$G$1,0))</f>
        <v>34.154999999999994</v>
      </c>
      <c r="M178" s="7">
        <f t="shared" si="6"/>
        <v>34.154999999999994</v>
      </c>
      <c r="N178" t="str">
        <f t="shared" si="7"/>
        <v>Excelsa</v>
      </c>
      <c r="O178" t="str">
        <f t="shared" si="8"/>
        <v>Light</v>
      </c>
      <c r="P178" t="str">
        <f>_xlfn.XLOOKUP(Table1[[#This Row],[Customer ID]],customers!$A$1:$A$1001,customers!$I$1:$I$1001,,0)</f>
        <v>Yes</v>
      </c>
    </row>
    <row r="179" spans="1:16" x14ac:dyDescent="0.2">
      <c r="A179" s="2" t="s">
        <v>1487</v>
      </c>
      <c r="B179" s="3">
        <v>44120</v>
      </c>
      <c r="C179" s="2" t="s">
        <v>1488</v>
      </c>
      <c r="D179" t="s">
        <v>6142</v>
      </c>
      <c r="E179" s="2">
        <v>4</v>
      </c>
      <c r="F179" s="2" t="str">
        <f>_xlfn.XLOOKUP(C179,customers!$A178:$A1178,customers!$B178:$B1178,,0)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5">
        <f>INDEX(products!$A$1:$G$49,MATCH(orders!$D179,products!$A$1:$A$49,0),MATCH(orders!K$1,products!$A$1:$G$1,0))</f>
        <v>2.5</v>
      </c>
      <c r="L179" s="7">
        <f>INDEX(products!$A$1:$G$49,MATCH(orders!$D179,products!$A$1:$A$49,0),MATCH(orders!L$1,products!$A$1:$G$1,0))</f>
        <v>27.484999999999996</v>
      </c>
      <c r="M179" s="7">
        <f t="shared" si="6"/>
        <v>109.93999999999998</v>
      </c>
      <c r="N179" t="str">
        <f t="shared" si="7"/>
        <v>Robusta</v>
      </c>
      <c r="O179" t="str">
        <f t="shared" si="8"/>
        <v>Light</v>
      </c>
      <c r="P179" t="str">
        <f>_xlfn.XLOOKUP(Table1[[#This Row],[Customer ID]],customers!$A$1:$A$1001,customers!$I$1:$I$1001,,0)</f>
        <v>Yes</v>
      </c>
    </row>
    <row r="180" spans="1:16" x14ac:dyDescent="0.2">
      <c r="A180" s="2" t="s">
        <v>1492</v>
      </c>
      <c r="B180" s="3">
        <v>43746</v>
      </c>
      <c r="C180" s="2" t="s">
        <v>1493</v>
      </c>
      <c r="D180" t="s">
        <v>6140</v>
      </c>
      <c r="E180" s="2">
        <v>2</v>
      </c>
      <c r="F180" s="2" t="str">
        <f>_xlfn.XLOOKUP(C180,customers!$A179:$A1179,customers!$B179:$B1179,,0)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5">
        <f>INDEX(products!$A$1:$G$49,MATCH(orders!$D180,products!$A$1:$A$49,0),MATCH(orders!K$1,products!$A$1:$G$1,0))</f>
        <v>1</v>
      </c>
      <c r="L180" s="7">
        <f>INDEX(products!$A$1:$G$49,MATCH(orders!$D180,products!$A$1:$A$49,0),MATCH(orders!L$1,products!$A$1:$G$1,0))</f>
        <v>12.95</v>
      </c>
      <c r="M180" s="7">
        <f t="shared" si="6"/>
        <v>25.9</v>
      </c>
      <c r="N180" t="str">
        <f t="shared" si="7"/>
        <v>Arabica</v>
      </c>
      <c r="O180" t="str">
        <f t="shared" si="8"/>
        <v>Light</v>
      </c>
      <c r="P180" t="str">
        <f>_xlfn.XLOOKUP(Table1[[#This Row],[Customer ID]],customers!$A$1:$A$1001,customers!$I$1:$I$1001,,0)</f>
        <v>No</v>
      </c>
    </row>
    <row r="181" spans="1:16" x14ac:dyDescent="0.2">
      <c r="A181" s="2" t="s">
        <v>1498</v>
      </c>
      <c r="B181" s="3">
        <v>43830</v>
      </c>
      <c r="C181" s="2" t="s">
        <v>1499</v>
      </c>
      <c r="D181" t="s">
        <v>6154</v>
      </c>
      <c r="E181" s="2">
        <v>1</v>
      </c>
      <c r="F181" s="2" t="str">
        <f>_xlfn.XLOOKUP(C181,customers!$A180:$A1180,customers!$B180:$B1180,,0)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5">
        <f>INDEX(products!$A$1:$G$49,MATCH(orders!$D181,products!$A$1:$A$49,0),MATCH(orders!K$1,products!$A$1:$G$1,0))</f>
        <v>0.2</v>
      </c>
      <c r="L181" s="7">
        <f>INDEX(products!$A$1:$G$49,MATCH(orders!$D181,products!$A$1:$A$49,0),MATCH(orders!L$1,products!$A$1:$G$1,0))</f>
        <v>2.9849999999999999</v>
      </c>
      <c r="M181" s="7">
        <f t="shared" si="6"/>
        <v>2.9849999999999999</v>
      </c>
      <c r="N181" t="str">
        <f t="shared" si="7"/>
        <v>Arabica</v>
      </c>
      <c r="O181" t="str">
        <f t="shared" si="8"/>
        <v>Dark</v>
      </c>
      <c r="P181" t="str">
        <f>_xlfn.XLOOKUP(Table1[[#This Row],[Customer ID]],customers!$A$1:$A$1001,customers!$I$1:$I$1001,,0)</f>
        <v>No</v>
      </c>
    </row>
    <row r="182" spans="1:16" x14ac:dyDescent="0.2">
      <c r="A182" s="2" t="s">
        <v>1503</v>
      </c>
      <c r="B182" s="3">
        <v>43910</v>
      </c>
      <c r="C182" s="2" t="s">
        <v>1504</v>
      </c>
      <c r="D182" t="s">
        <v>6184</v>
      </c>
      <c r="E182" s="2">
        <v>5</v>
      </c>
      <c r="F182" s="2" t="str">
        <f>_xlfn.XLOOKUP(C182,customers!$A181:$A1181,customers!$B181:$B1181,,0)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5">
        <f>INDEX(products!$A$1:$G$49,MATCH(orders!$D182,products!$A$1:$A$49,0),MATCH(orders!K$1,products!$A$1:$G$1,0))</f>
        <v>0.2</v>
      </c>
      <c r="L182" s="7">
        <f>INDEX(products!$A$1:$G$49,MATCH(orders!$D182,products!$A$1:$A$49,0),MATCH(orders!L$1,products!$A$1:$G$1,0))</f>
        <v>4.4550000000000001</v>
      </c>
      <c r="M182" s="7">
        <f t="shared" si="6"/>
        <v>22.274999999999999</v>
      </c>
      <c r="N182" t="str">
        <f t="shared" si="7"/>
        <v>Excelsa</v>
      </c>
      <c r="O182" t="str">
        <f t="shared" si="8"/>
        <v>Light</v>
      </c>
      <c r="P182" t="str">
        <f>_xlfn.XLOOKUP(Table1[[#This Row],[Customer ID]],customers!$A$1:$A$1001,customers!$I$1:$I$1001,,0)</f>
        <v>No</v>
      </c>
    </row>
    <row r="183" spans="1:16" x14ac:dyDescent="0.2">
      <c r="A183" s="2" t="s">
        <v>1503</v>
      </c>
      <c r="B183" s="3">
        <v>43910</v>
      </c>
      <c r="C183" s="2" t="s">
        <v>1504</v>
      </c>
      <c r="D183" t="s">
        <v>6158</v>
      </c>
      <c r="E183" s="2">
        <v>5</v>
      </c>
      <c r="F183" s="2" t="str">
        <f>_xlfn.XLOOKUP(C183,customers!$A182:$A1182,customers!$B182:$B1182,,0)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5">
        <f>INDEX(products!$A$1:$G$49,MATCH(orders!$D183,products!$A$1:$A$49,0),MATCH(orders!K$1,products!$A$1:$G$1,0))</f>
        <v>0.5</v>
      </c>
      <c r="L183" s="7">
        <f>INDEX(products!$A$1:$G$49,MATCH(orders!$D183,products!$A$1:$A$49,0),MATCH(orders!L$1,products!$A$1:$G$1,0))</f>
        <v>5.97</v>
      </c>
      <c r="M183" s="7">
        <f t="shared" si="6"/>
        <v>29.849999999999998</v>
      </c>
      <c r="N183" t="str">
        <f t="shared" si="7"/>
        <v>Arabica</v>
      </c>
      <c r="O183" t="str">
        <f t="shared" si="8"/>
        <v>Dark</v>
      </c>
      <c r="P183" t="str">
        <f>_xlfn.XLOOKUP(Table1[[#This Row],[Customer ID]],customers!$A$1:$A$1001,customers!$I$1:$I$1001,,0)</f>
        <v>No</v>
      </c>
    </row>
    <row r="184" spans="1:16" x14ac:dyDescent="0.2">
      <c r="A184" s="2" t="s">
        <v>1514</v>
      </c>
      <c r="B184" s="3">
        <v>44284</v>
      </c>
      <c r="C184" s="2" t="s">
        <v>1515</v>
      </c>
      <c r="D184" t="s">
        <v>6172</v>
      </c>
      <c r="E184" s="2">
        <v>6</v>
      </c>
      <c r="F184" s="2" t="str">
        <f>_xlfn.XLOOKUP(C184,customers!$A183:$A1183,customers!$B183:$B1183,,0)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5">
        <f>INDEX(products!$A$1:$G$49,MATCH(orders!$D184,products!$A$1:$A$49,0),MATCH(orders!K$1,products!$A$1:$G$1,0))</f>
        <v>0.5</v>
      </c>
      <c r="L184" s="7">
        <f>INDEX(products!$A$1:$G$49,MATCH(orders!$D184,products!$A$1:$A$49,0),MATCH(orders!L$1,products!$A$1:$G$1,0))</f>
        <v>5.3699999999999992</v>
      </c>
      <c r="M184" s="7">
        <f t="shared" si="6"/>
        <v>32.22</v>
      </c>
      <c r="N184" t="str">
        <f t="shared" si="7"/>
        <v>Robusta</v>
      </c>
      <c r="O184" t="str">
        <f t="shared" si="8"/>
        <v>Dark</v>
      </c>
      <c r="P184" t="str">
        <f>_xlfn.XLOOKUP(Table1[[#This Row],[Customer ID]],customers!$A$1:$A$1001,customers!$I$1:$I$1001,,0)</f>
        <v>No</v>
      </c>
    </row>
    <row r="185" spans="1:16" x14ac:dyDescent="0.2">
      <c r="A185" s="2" t="s">
        <v>1520</v>
      </c>
      <c r="B185" s="3">
        <v>44512</v>
      </c>
      <c r="C185" s="2" t="s">
        <v>1521</v>
      </c>
      <c r="D185" t="s">
        <v>6156</v>
      </c>
      <c r="E185" s="2">
        <v>2</v>
      </c>
      <c r="F185" s="2" t="str">
        <f>_xlfn.XLOOKUP(C185,customers!$A184:$A1184,customers!$B184:$B1184,,0)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5">
        <f>INDEX(products!$A$1:$G$49,MATCH(orders!$D185,products!$A$1:$A$49,0),MATCH(orders!K$1,products!$A$1:$G$1,0))</f>
        <v>0.2</v>
      </c>
      <c r="L185" s="7">
        <f>INDEX(products!$A$1:$G$49,MATCH(orders!$D185,products!$A$1:$A$49,0),MATCH(orders!L$1,products!$A$1:$G$1,0))</f>
        <v>4.125</v>
      </c>
      <c r="M185" s="7">
        <f t="shared" si="6"/>
        <v>8.25</v>
      </c>
      <c r="N185" t="str">
        <f t="shared" si="7"/>
        <v>Excelsa</v>
      </c>
      <c r="O185" t="str">
        <f t="shared" si="8"/>
        <v>Medium</v>
      </c>
      <c r="P185" t="str">
        <f>_xlfn.XLOOKUP(Table1[[#This Row],[Customer ID]],customers!$A$1:$A$1001,customers!$I$1:$I$1001,,0)</f>
        <v>No</v>
      </c>
    </row>
    <row r="186" spans="1:16" x14ac:dyDescent="0.2">
      <c r="A186" s="2" t="s">
        <v>1526</v>
      </c>
      <c r="B186" s="3">
        <v>44397</v>
      </c>
      <c r="C186" s="2" t="s">
        <v>1527</v>
      </c>
      <c r="D186" t="s">
        <v>6180</v>
      </c>
      <c r="E186" s="2">
        <v>4</v>
      </c>
      <c r="F186" s="2" t="str">
        <f>_xlfn.XLOOKUP(C186,customers!$A185:$A1185,customers!$B185:$B1185,,0)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5">
        <f>INDEX(products!$A$1:$G$49,MATCH(orders!$D186,products!$A$1:$A$49,0),MATCH(orders!K$1,products!$A$1:$G$1,0))</f>
        <v>0.5</v>
      </c>
      <c r="L186" s="7">
        <f>INDEX(products!$A$1:$G$49,MATCH(orders!$D186,products!$A$1:$A$49,0),MATCH(orders!L$1,products!$A$1:$G$1,0))</f>
        <v>7.77</v>
      </c>
      <c r="M186" s="7">
        <f t="shared" si="6"/>
        <v>31.08</v>
      </c>
      <c r="N186" t="str">
        <f t="shared" si="7"/>
        <v>Arabica</v>
      </c>
      <c r="O186" t="str">
        <f t="shared" si="8"/>
        <v>Light</v>
      </c>
      <c r="P186" t="str">
        <f>_xlfn.XLOOKUP(Table1[[#This Row],[Customer ID]],customers!$A$1:$A$1001,customers!$I$1:$I$1001,,0)</f>
        <v>No</v>
      </c>
    </row>
    <row r="187" spans="1:16" x14ac:dyDescent="0.2">
      <c r="A187" s="2" t="s">
        <v>1532</v>
      </c>
      <c r="B187" s="3">
        <v>43483</v>
      </c>
      <c r="C187" s="2" t="s">
        <v>1533</v>
      </c>
      <c r="D187" t="s">
        <v>6144</v>
      </c>
      <c r="E187" s="2">
        <v>5</v>
      </c>
      <c r="F187" s="2" t="str">
        <f>_xlfn.XLOOKUP(C187,customers!$A186:$A1186,customers!$B186:$B1186,,0)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5">
        <f>INDEX(products!$A$1:$G$49,MATCH(orders!$D187,products!$A$1:$A$49,0),MATCH(orders!K$1,products!$A$1:$G$1,0))</f>
        <v>0.5</v>
      </c>
      <c r="L187" s="7">
        <f>INDEX(products!$A$1:$G$49,MATCH(orders!$D187,products!$A$1:$A$49,0),MATCH(orders!L$1,products!$A$1:$G$1,0))</f>
        <v>7.29</v>
      </c>
      <c r="M187" s="7">
        <f t="shared" si="6"/>
        <v>36.450000000000003</v>
      </c>
      <c r="N187" t="str">
        <f t="shared" si="7"/>
        <v>Excelsa</v>
      </c>
      <c r="O187" t="str">
        <f t="shared" si="8"/>
        <v>Dark</v>
      </c>
      <c r="P187" t="str">
        <f>_xlfn.XLOOKUP(Table1[[#This Row],[Customer ID]],customers!$A$1:$A$1001,customers!$I$1:$I$1001,,0)</f>
        <v>Yes</v>
      </c>
    </row>
    <row r="188" spans="1:16" x14ac:dyDescent="0.2">
      <c r="A188" s="2" t="s">
        <v>1538</v>
      </c>
      <c r="B188" s="3">
        <v>43684</v>
      </c>
      <c r="C188" s="2" t="s">
        <v>1539</v>
      </c>
      <c r="D188" t="s">
        <v>6151</v>
      </c>
      <c r="E188" s="2">
        <v>3</v>
      </c>
      <c r="F188" s="2" t="str">
        <f>_xlfn.XLOOKUP(C188,customers!$A187:$A1187,customers!$B187:$B1187,,0)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5">
        <f>INDEX(products!$A$1:$G$49,MATCH(orders!$D188,products!$A$1:$A$49,0),MATCH(orders!K$1,products!$A$1:$G$1,0))</f>
        <v>2.5</v>
      </c>
      <c r="L188" s="7">
        <f>INDEX(products!$A$1:$G$49,MATCH(orders!$D188,products!$A$1:$A$49,0),MATCH(orders!L$1,products!$A$1:$G$1,0))</f>
        <v>22.884999999999998</v>
      </c>
      <c r="M188" s="7">
        <f t="shared" si="6"/>
        <v>68.655000000000001</v>
      </c>
      <c r="N188" t="str">
        <f t="shared" si="7"/>
        <v>Robusta</v>
      </c>
      <c r="O188" t="str">
        <f t="shared" si="8"/>
        <v>Medium</v>
      </c>
      <c r="P188" t="str">
        <f>_xlfn.XLOOKUP(Table1[[#This Row],[Customer ID]],customers!$A$1:$A$1001,customers!$I$1:$I$1001,,0)</f>
        <v>No</v>
      </c>
    </row>
    <row r="189" spans="1:16" x14ac:dyDescent="0.2">
      <c r="A189" s="2" t="s">
        <v>1544</v>
      </c>
      <c r="B189" s="3">
        <v>44633</v>
      </c>
      <c r="C189" s="2" t="s">
        <v>1545</v>
      </c>
      <c r="D189" t="s">
        <v>6160</v>
      </c>
      <c r="E189" s="2">
        <v>5</v>
      </c>
      <c r="F189" s="2" t="str">
        <f>_xlfn.XLOOKUP(C189,customers!$A188:$A1188,customers!$B188:$B1188,,0)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5">
        <f>INDEX(products!$A$1:$G$49,MATCH(orders!$D189,products!$A$1:$A$49,0),MATCH(orders!K$1,products!$A$1:$G$1,0))</f>
        <v>0.5</v>
      </c>
      <c r="L189" s="7">
        <f>INDEX(products!$A$1:$G$49,MATCH(orders!$D189,products!$A$1:$A$49,0),MATCH(orders!L$1,products!$A$1:$G$1,0))</f>
        <v>8.73</v>
      </c>
      <c r="M189" s="7">
        <f t="shared" si="6"/>
        <v>43.650000000000006</v>
      </c>
      <c r="N189" t="str">
        <f t="shared" si="7"/>
        <v>Liberica</v>
      </c>
      <c r="O189" t="str">
        <f t="shared" si="8"/>
        <v>Medium</v>
      </c>
      <c r="P189" t="str">
        <f>_xlfn.XLOOKUP(Table1[[#This Row],[Customer ID]],customers!$A$1:$A$1001,customers!$I$1:$I$1001,,0)</f>
        <v>Yes</v>
      </c>
    </row>
    <row r="190" spans="1:16" x14ac:dyDescent="0.2">
      <c r="A190" s="2" t="s">
        <v>1549</v>
      </c>
      <c r="B190" s="3">
        <v>44698</v>
      </c>
      <c r="C190" s="2" t="s">
        <v>1550</v>
      </c>
      <c r="D190" t="s">
        <v>6184</v>
      </c>
      <c r="E190" s="2">
        <v>1</v>
      </c>
      <c r="F190" s="2" t="str">
        <f>_xlfn.XLOOKUP(C190,customers!$A189:$A1189,customers!$B189:$B1189,,0)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5">
        <f>INDEX(products!$A$1:$G$49,MATCH(orders!$D190,products!$A$1:$A$49,0),MATCH(orders!K$1,products!$A$1:$G$1,0))</f>
        <v>0.2</v>
      </c>
      <c r="L190" s="7">
        <f>INDEX(products!$A$1:$G$49,MATCH(orders!$D190,products!$A$1:$A$49,0),MATCH(orders!L$1,products!$A$1:$G$1,0))</f>
        <v>4.4550000000000001</v>
      </c>
      <c r="M190" s="7">
        <f t="shared" si="6"/>
        <v>4.4550000000000001</v>
      </c>
      <c r="N190" t="str">
        <f t="shared" si="7"/>
        <v>Excelsa</v>
      </c>
      <c r="O190" t="str">
        <f t="shared" si="8"/>
        <v>Light</v>
      </c>
      <c r="P190" t="str">
        <f>_xlfn.XLOOKUP(Table1[[#This Row],[Customer ID]],customers!$A$1:$A$1001,customers!$I$1:$I$1001,,0)</f>
        <v>Yes</v>
      </c>
    </row>
    <row r="191" spans="1:16" x14ac:dyDescent="0.2">
      <c r="A191" s="2" t="s">
        <v>1555</v>
      </c>
      <c r="B191" s="3">
        <v>43813</v>
      </c>
      <c r="C191" s="2" t="s">
        <v>1556</v>
      </c>
      <c r="D191" t="s">
        <v>6162</v>
      </c>
      <c r="E191" s="2">
        <v>3</v>
      </c>
      <c r="F191" s="2" t="str">
        <f>_xlfn.XLOOKUP(C191,customers!$A190:$A1190,customers!$B190:$B1190,,0)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5">
        <f>INDEX(products!$A$1:$G$49,MATCH(orders!$D191,products!$A$1:$A$49,0),MATCH(orders!K$1,products!$A$1:$G$1,0))</f>
        <v>1</v>
      </c>
      <c r="L191" s="7">
        <f>INDEX(products!$A$1:$G$49,MATCH(orders!$D191,products!$A$1:$A$49,0),MATCH(orders!L$1,products!$A$1:$G$1,0))</f>
        <v>14.55</v>
      </c>
      <c r="M191" s="7">
        <f t="shared" si="6"/>
        <v>43.650000000000006</v>
      </c>
      <c r="N191" t="str">
        <f t="shared" si="7"/>
        <v>Liberica</v>
      </c>
      <c r="O191" t="str">
        <f t="shared" si="8"/>
        <v>Medium</v>
      </c>
      <c r="P191" t="str">
        <f>_xlfn.XLOOKUP(Table1[[#This Row],[Customer ID]],customers!$A$1:$A$1001,customers!$I$1:$I$1001,,0)</f>
        <v>Yes</v>
      </c>
    </row>
    <row r="192" spans="1:16" x14ac:dyDescent="0.2">
      <c r="A192" s="2" t="s">
        <v>1561</v>
      </c>
      <c r="B192" s="3">
        <v>43845</v>
      </c>
      <c r="C192" s="2" t="s">
        <v>1562</v>
      </c>
      <c r="D192" t="s">
        <v>6181</v>
      </c>
      <c r="E192" s="2">
        <v>1</v>
      </c>
      <c r="F192" s="2" t="str">
        <f>_xlfn.XLOOKUP(C192,customers!$A191:$A1191,customers!$B191:$B1191,,0)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5">
        <f>INDEX(products!$A$1:$G$49,MATCH(orders!$D192,products!$A$1:$A$49,0),MATCH(orders!K$1,products!$A$1:$G$1,0))</f>
        <v>2.5</v>
      </c>
      <c r="L192" s="7">
        <f>INDEX(products!$A$1:$G$49,MATCH(orders!$D192,products!$A$1:$A$49,0),MATCH(orders!L$1,products!$A$1:$G$1,0))</f>
        <v>33.464999999999996</v>
      </c>
      <c r="M192" s="7">
        <f t="shared" si="6"/>
        <v>33.464999999999996</v>
      </c>
      <c r="N192" t="str">
        <f t="shared" si="7"/>
        <v>Liberica</v>
      </c>
      <c r="O192" t="str">
        <f t="shared" si="8"/>
        <v>Medium</v>
      </c>
      <c r="P192" t="str">
        <f>_xlfn.XLOOKUP(Table1[[#This Row],[Customer ID]],customers!$A$1:$A$1001,customers!$I$1:$I$1001,,0)</f>
        <v>Yes</v>
      </c>
    </row>
    <row r="193" spans="1:16" x14ac:dyDescent="0.2">
      <c r="A193" s="2" t="s">
        <v>1567</v>
      </c>
      <c r="B193" s="3">
        <v>43567</v>
      </c>
      <c r="C193" s="2" t="s">
        <v>1568</v>
      </c>
      <c r="D193" t="s">
        <v>6150</v>
      </c>
      <c r="E193" s="2">
        <v>5</v>
      </c>
      <c r="F193" s="2" t="str">
        <f>_xlfn.XLOOKUP(C193,customers!$A192:$A1192,customers!$B192:$B1192,,0)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5">
        <f>INDEX(products!$A$1:$G$49,MATCH(orders!$D193,products!$A$1:$A$49,0),MATCH(orders!K$1,products!$A$1:$G$1,0))</f>
        <v>0.2</v>
      </c>
      <c r="L193" s="7">
        <f>INDEX(products!$A$1:$G$49,MATCH(orders!$D193,products!$A$1:$A$49,0),MATCH(orders!L$1,products!$A$1:$G$1,0))</f>
        <v>3.8849999999999998</v>
      </c>
      <c r="M193" s="7">
        <f t="shared" si="6"/>
        <v>19.424999999999997</v>
      </c>
      <c r="N193" t="str">
        <f t="shared" si="7"/>
        <v>Liberica</v>
      </c>
      <c r="O193" t="str">
        <f t="shared" si="8"/>
        <v>Dark</v>
      </c>
      <c r="P193" t="str">
        <f>_xlfn.XLOOKUP(Table1[[#This Row],[Customer ID]],customers!$A$1:$A$1001,customers!$I$1:$I$1001,,0)</f>
        <v>Yes</v>
      </c>
    </row>
    <row r="194" spans="1:16" x14ac:dyDescent="0.2">
      <c r="A194" s="2" t="s">
        <v>1573</v>
      </c>
      <c r="B194" s="3">
        <v>43919</v>
      </c>
      <c r="C194" s="2" t="s">
        <v>1574</v>
      </c>
      <c r="D194" t="s">
        <v>6183</v>
      </c>
      <c r="E194" s="2">
        <v>6</v>
      </c>
      <c r="F194" s="2" t="str">
        <f>_xlfn.XLOOKUP(C194,customers!$A193:$A1193,customers!$B193:$B1193,,0)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5">
        <f>INDEX(products!$A$1:$G$49,MATCH(orders!$D194,products!$A$1:$A$49,0),MATCH(orders!K$1,products!$A$1:$G$1,0))</f>
        <v>1</v>
      </c>
      <c r="L194" s="7">
        <f>INDEX(products!$A$1:$G$49,MATCH(orders!$D194,products!$A$1:$A$49,0),MATCH(orders!L$1,products!$A$1:$G$1,0))</f>
        <v>12.15</v>
      </c>
      <c r="M194" s="7">
        <f t="shared" si="6"/>
        <v>72.900000000000006</v>
      </c>
      <c r="N194" t="str">
        <f t="shared" si="7"/>
        <v>Excelsa</v>
      </c>
      <c r="O194" t="str">
        <f t="shared" si="8"/>
        <v>Dark</v>
      </c>
      <c r="P194" t="str">
        <f>_xlfn.XLOOKUP(Table1[[#This Row],[Customer ID]],customers!$A$1:$A$1001,customers!$I$1:$I$1001,,0)</f>
        <v>Yes</v>
      </c>
    </row>
    <row r="195" spans="1:16" x14ac:dyDescent="0.2">
      <c r="A195" s="2" t="s">
        <v>1579</v>
      </c>
      <c r="B195" s="3">
        <v>44644</v>
      </c>
      <c r="C195" s="2" t="s">
        <v>1580</v>
      </c>
      <c r="D195" t="s">
        <v>6171</v>
      </c>
      <c r="E195" s="2">
        <v>3</v>
      </c>
      <c r="F195" s="2" t="str">
        <f>_xlfn.XLOOKUP(C195,customers!$A194:$A1194,customers!$B194:$B1194,,0)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5">
        <f>INDEX(products!$A$1:$G$49,MATCH(orders!$D195,products!$A$1:$A$49,0),MATCH(orders!K$1,products!$A$1:$G$1,0))</f>
        <v>1</v>
      </c>
      <c r="L195" s="7">
        <f>INDEX(products!$A$1:$G$49,MATCH(orders!$D195,products!$A$1:$A$49,0),MATCH(orders!L$1,products!$A$1:$G$1,0))</f>
        <v>14.85</v>
      </c>
      <c r="M195" s="7">
        <f t="shared" ref="M195:M258" si="9">L195*E195</f>
        <v>44.55</v>
      </c>
      <c r="N195" t="str">
        <f t="shared" ref="N195:N258" si="10">IF(I195="Rob","Robusta",IF(I195="Ara","Arabica",IF(I195="Exc","Excelsa",IF(I195="Lib","Liberica",""))))</f>
        <v>Excelsa</v>
      </c>
      <c r="O195" t="str">
        <f t="shared" ref="O195:O258" si="11">IF(J195="M","Medium",IF(J195="L","Light",IF(J195="D","Dark","")))</f>
        <v>Light</v>
      </c>
      <c r="P195" t="str">
        <f>_xlfn.XLOOKUP(Table1[[#This Row],[Customer ID]],customers!$A$1:$A$1001,customers!$I$1:$I$1001,,0)</f>
        <v>No</v>
      </c>
    </row>
    <row r="196" spans="1:16" x14ac:dyDescent="0.2">
      <c r="A196" s="2" t="s">
        <v>1584</v>
      </c>
      <c r="B196" s="3">
        <v>44398</v>
      </c>
      <c r="C196" s="2" t="s">
        <v>1585</v>
      </c>
      <c r="D196" t="s">
        <v>6144</v>
      </c>
      <c r="E196" s="2">
        <v>5</v>
      </c>
      <c r="F196" s="2" t="str">
        <f>_xlfn.XLOOKUP(C196,customers!$A195:$A1195,customers!$B195:$B1195,,0)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5">
        <f>INDEX(products!$A$1:$G$49,MATCH(orders!$D196,products!$A$1:$A$49,0),MATCH(orders!K$1,products!$A$1:$G$1,0))</f>
        <v>0.5</v>
      </c>
      <c r="L196" s="7">
        <f>INDEX(products!$A$1:$G$49,MATCH(orders!$D196,products!$A$1:$A$49,0),MATCH(orders!L$1,products!$A$1:$G$1,0))</f>
        <v>7.29</v>
      </c>
      <c r="M196" s="7">
        <f t="shared" si="9"/>
        <v>36.450000000000003</v>
      </c>
      <c r="N196" t="str">
        <f t="shared" si="10"/>
        <v>Excelsa</v>
      </c>
      <c r="O196" t="str">
        <f t="shared" si="11"/>
        <v>Dark</v>
      </c>
      <c r="P196" t="str">
        <f>_xlfn.XLOOKUP(Table1[[#This Row],[Customer ID]],customers!$A$1:$A$1001,customers!$I$1:$I$1001,,0)</f>
        <v>No</v>
      </c>
    </row>
    <row r="197" spans="1:16" x14ac:dyDescent="0.2">
      <c r="A197" s="2" t="s">
        <v>1590</v>
      </c>
      <c r="B197" s="3">
        <v>43683</v>
      </c>
      <c r="C197" s="2" t="s">
        <v>1591</v>
      </c>
      <c r="D197" t="s">
        <v>6140</v>
      </c>
      <c r="E197" s="2">
        <v>3</v>
      </c>
      <c r="F197" s="2" t="str">
        <f>_xlfn.XLOOKUP(C197,customers!$A196:$A1196,customers!$B196:$B1196,,0)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5">
        <f>INDEX(products!$A$1:$G$49,MATCH(orders!$D197,products!$A$1:$A$49,0),MATCH(orders!K$1,products!$A$1:$G$1,0))</f>
        <v>1</v>
      </c>
      <c r="L197" s="7">
        <f>INDEX(products!$A$1:$G$49,MATCH(orders!$D197,products!$A$1:$A$49,0),MATCH(orders!L$1,products!$A$1:$G$1,0))</f>
        <v>12.95</v>
      </c>
      <c r="M197" s="7">
        <f t="shared" si="9"/>
        <v>38.849999999999994</v>
      </c>
      <c r="N197" t="str">
        <f t="shared" si="10"/>
        <v>Arabica</v>
      </c>
      <c r="O197" t="str">
        <f t="shared" si="11"/>
        <v>Light</v>
      </c>
      <c r="P197" t="str">
        <f>_xlfn.XLOOKUP(Table1[[#This Row],[Customer ID]],customers!$A$1:$A$1001,customers!$I$1:$I$1001,,0)</f>
        <v>No</v>
      </c>
    </row>
    <row r="198" spans="1:16" x14ac:dyDescent="0.2">
      <c r="A198" s="2" t="s">
        <v>1596</v>
      </c>
      <c r="B198" s="3">
        <v>44339</v>
      </c>
      <c r="C198" s="2" t="s">
        <v>1597</v>
      </c>
      <c r="D198" t="s">
        <v>6176</v>
      </c>
      <c r="E198" s="2">
        <v>6</v>
      </c>
      <c r="F198" s="2" t="str">
        <f>_xlfn.XLOOKUP(C198,customers!$A197:$A1197,customers!$B197:$B1197,,0)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5">
        <f>INDEX(products!$A$1:$G$49,MATCH(orders!$D198,products!$A$1:$A$49,0),MATCH(orders!K$1,products!$A$1:$G$1,0))</f>
        <v>0.5</v>
      </c>
      <c r="L198" s="7">
        <f>INDEX(products!$A$1:$G$49,MATCH(orders!$D198,products!$A$1:$A$49,0),MATCH(orders!L$1,products!$A$1:$G$1,0))</f>
        <v>8.91</v>
      </c>
      <c r="M198" s="7">
        <f t="shared" si="9"/>
        <v>53.46</v>
      </c>
      <c r="N198" t="str">
        <f t="shared" si="10"/>
        <v>Excelsa</v>
      </c>
      <c r="O198" t="str">
        <f t="shared" si="11"/>
        <v>Light</v>
      </c>
      <c r="P198" t="str">
        <f>_xlfn.XLOOKUP(Table1[[#This Row],[Customer ID]],customers!$A$1:$A$1001,customers!$I$1:$I$1001,,0)</f>
        <v>No</v>
      </c>
    </row>
    <row r="199" spans="1:16" x14ac:dyDescent="0.2">
      <c r="A199" s="2" t="s">
        <v>1596</v>
      </c>
      <c r="B199" s="3">
        <v>44339</v>
      </c>
      <c r="C199" s="2" t="s">
        <v>1597</v>
      </c>
      <c r="D199" t="s">
        <v>6165</v>
      </c>
      <c r="E199" s="2">
        <v>2</v>
      </c>
      <c r="F199" s="2" t="str">
        <f>_xlfn.XLOOKUP(C199,customers!$A198:$A1198,customers!$B198:$B1198,,0)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5">
        <f>INDEX(products!$A$1:$G$49,MATCH(orders!$D199,products!$A$1:$A$49,0),MATCH(orders!K$1,products!$A$1:$G$1,0))</f>
        <v>2.5</v>
      </c>
      <c r="L199" s="7">
        <f>INDEX(products!$A$1:$G$49,MATCH(orders!$D199,products!$A$1:$A$49,0),MATCH(orders!L$1,products!$A$1:$G$1,0))</f>
        <v>29.784999999999997</v>
      </c>
      <c r="M199" s="7">
        <f t="shared" si="9"/>
        <v>59.569999999999993</v>
      </c>
      <c r="N199" t="str">
        <f t="shared" si="10"/>
        <v>Liberica</v>
      </c>
      <c r="O199" t="str">
        <f t="shared" si="11"/>
        <v>Dark</v>
      </c>
      <c r="P199" t="str">
        <f>_xlfn.XLOOKUP(Table1[[#This Row],[Customer ID]],customers!$A$1:$A$1001,customers!$I$1:$I$1001,,0)</f>
        <v>No</v>
      </c>
    </row>
    <row r="200" spans="1:16" x14ac:dyDescent="0.2">
      <c r="A200" s="2" t="s">
        <v>1596</v>
      </c>
      <c r="B200" s="3">
        <v>44339</v>
      </c>
      <c r="C200" s="2" t="s">
        <v>1597</v>
      </c>
      <c r="D200" t="s">
        <v>6165</v>
      </c>
      <c r="E200" s="2">
        <v>3</v>
      </c>
      <c r="F200" s="2" t="e">
        <f>_xlfn.XLOOKUP(C200,customers!$A199:$A1199,customers!$B199:$B1199,,0)</f>
        <v>#N/A</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5">
        <f>INDEX(products!$A$1:$G$49,MATCH(orders!$D200,products!$A$1:$A$49,0),MATCH(orders!K$1,products!$A$1:$G$1,0))</f>
        <v>2.5</v>
      </c>
      <c r="L200" s="7">
        <f>INDEX(products!$A$1:$G$49,MATCH(orders!$D200,products!$A$1:$A$49,0),MATCH(orders!L$1,products!$A$1:$G$1,0))</f>
        <v>29.784999999999997</v>
      </c>
      <c r="M200" s="7">
        <f t="shared" si="9"/>
        <v>89.35499999999999</v>
      </c>
      <c r="N200" t="str">
        <f t="shared" si="10"/>
        <v>Liberica</v>
      </c>
      <c r="O200" t="str">
        <f t="shared" si="11"/>
        <v>Dark</v>
      </c>
      <c r="P200" t="str">
        <f>_xlfn.XLOOKUP(Table1[[#This Row],[Customer ID]],customers!$A$1:$A$1001,customers!$I$1:$I$1001,,0)</f>
        <v>No</v>
      </c>
    </row>
    <row r="201" spans="1:16" x14ac:dyDescent="0.2">
      <c r="A201" s="2" t="s">
        <v>1596</v>
      </c>
      <c r="B201" s="3">
        <v>44339</v>
      </c>
      <c r="C201" s="2" t="s">
        <v>1597</v>
      </c>
      <c r="D201" t="s">
        <v>6161</v>
      </c>
      <c r="E201" s="2">
        <v>4</v>
      </c>
      <c r="F201" s="2" t="e">
        <f>_xlfn.XLOOKUP(C201,customers!$A200:$A1200,customers!$B200:$B1200,,0)</f>
        <v>#N/A</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5">
        <f>INDEX(products!$A$1:$G$49,MATCH(orders!$D201,products!$A$1:$A$49,0),MATCH(orders!K$1,products!$A$1:$G$1,0))</f>
        <v>0.5</v>
      </c>
      <c r="L201" s="7">
        <f>INDEX(products!$A$1:$G$49,MATCH(orders!$D201,products!$A$1:$A$49,0),MATCH(orders!L$1,products!$A$1:$G$1,0))</f>
        <v>9.51</v>
      </c>
      <c r="M201" s="7">
        <f t="shared" si="9"/>
        <v>38.04</v>
      </c>
      <c r="N201" t="str">
        <f t="shared" si="10"/>
        <v>Liberica</v>
      </c>
      <c r="O201" t="str">
        <f t="shared" si="11"/>
        <v>Light</v>
      </c>
      <c r="P201" t="str">
        <f>_xlfn.XLOOKUP(Table1[[#This Row],[Customer ID]],customers!$A$1:$A$1001,customers!$I$1:$I$1001,,0)</f>
        <v>No</v>
      </c>
    </row>
    <row r="202" spans="1:16" x14ac:dyDescent="0.2">
      <c r="A202" s="2" t="s">
        <v>1596</v>
      </c>
      <c r="B202" s="3">
        <v>44339</v>
      </c>
      <c r="C202" s="2" t="s">
        <v>1597</v>
      </c>
      <c r="D202" t="s">
        <v>6141</v>
      </c>
      <c r="E202" s="2">
        <v>3</v>
      </c>
      <c r="F202" s="2" t="e">
        <f>_xlfn.XLOOKUP(C202,customers!$A201:$A1201,customers!$B201:$B1201,,0)</f>
        <v>#N/A</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5">
        <f>INDEX(products!$A$1:$G$49,MATCH(orders!$D202,products!$A$1:$A$49,0),MATCH(orders!K$1,products!$A$1:$G$1,0))</f>
        <v>1</v>
      </c>
      <c r="L202" s="7">
        <f>INDEX(products!$A$1:$G$49,MATCH(orders!$D202,products!$A$1:$A$49,0),MATCH(orders!L$1,products!$A$1:$G$1,0))</f>
        <v>13.75</v>
      </c>
      <c r="M202" s="7">
        <f t="shared" si="9"/>
        <v>41.25</v>
      </c>
      <c r="N202" t="str">
        <f t="shared" si="10"/>
        <v>Excelsa</v>
      </c>
      <c r="O202" t="str">
        <f t="shared" si="11"/>
        <v>Medium</v>
      </c>
      <c r="P202" t="str">
        <f>_xlfn.XLOOKUP(Table1[[#This Row],[Customer ID]],customers!$A$1:$A$1001,customers!$I$1:$I$1001,,0)</f>
        <v>No</v>
      </c>
    </row>
    <row r="203" spans="1:16" x14ac:dyDescent="0.2">
      <c r="A203" s="2" t="s">
        <v>1621</v>
      </c>
      <c r="B203" s="3">
        <v>44294</v>
      </c>
      <c r="C203" s="2" t="s">
        <v>1622</v>
      </c>
      <c r="D203" t="s">
        <v>6161</v>
      </c>
      <c r="E203" s="2">
        <v>6</v>
      </c>
      <c r="F203" s="2" t="str">
        <f>_xlfn.XLOOKUP(C203,customers!$A202:$A1202,customers!$B202:$B1202,,0)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5">
        <f>INDEX(products!$A$1:$G$49,MATCH(orders!$D203,products!$A$1:$A$49,0),MATCH(orders!K$1,products!$A$1:$G$1,0))</f>
        <v>0.5</v>
      </c>
      <c r="L203" s="7">
        <f>INDEX(products!$A$1:$G$49,MATCH(orders!$D203,products!$A$1:$A$49,0),MATCH(orders!L$1,products!$A$1:$G$1,0))</f>
        <v>9.51</v>
      </c>
      <c r="M203" s="7">
        <f t="shared" si="9"/>
        <v>57.06</v>
      </c>
      <c r="N203" t="str">
        <f t="shared" si="10"/>
        <v>Liberica</v>
      </c>
      <c r="O203" t="str">
        <f t="shared" si="11"/>
        <v>Light</v>
      </c>
      <c r="P203" t="str">
        <f>_xlfn.XLOOKUP(Table1[[#This Row],[Customer ID]],customers!$A$1:$A$1001,customers!$I$1:$I$1001,,0)</f>
        <v>No</v>
      </c>
    </row>
    <row r="204" spans="1:16" x14ac:dyDescent="0.2">
      <c r="A204" s="2" t="s">
        <v>1626</v>
      </c>
      <c r="B204" s="3">
        <v>44486</v>
      </c>
      <c r="C204" s="2" t="s">
        <v>1627</v>
      </c>
      <c r="D204" t="s">
        <v>6165</v>
      </c>
      <c r="E204" s="2">
        <v>6</v>
      </c>
      <c r="F204" s="2" t="str">
        <f>_xlfn.XLOOKUP(C204,customers!$A203:$A1203,customers!$B203:$B1203,,0)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5">
        <f>INDEX(products!$A$1:$G$49,MATCH(orders!$D204,products!$A$1:$A$49,0),MATCH(orders!K$1,products!$A$1:$G$1,0))</f>
        <v>2.5</v>
      </c>
      <c r="L204" s="7">
        <f>INDEX(products!$A$1:$G$49,MATCH(orders!$D204,products!$A$1:$A$49,0),MATCH(orders!L$1,products!$A$1:$G$1,0))</f>
        <v>29.784999999999997</v>
      </c>
      <c r="M204" s="7">
        <f t="shared" si="9"/>
        <v>178.70999999999998</v>
      </c>
      <c r="N204" t="str">
        <f t="shared" si="10"/>
        <v>Liberica</v>
      </c>
      <c r="O204" t="str">
        <f t="shared" si="11"/>
        <v>Dark</v>
      </c>
      <c r="P204" t="str">
        <f>_xlfn.XLOOKUP(Table1[[#This Row],[Customer ID]],customers!$A$1:$A$1001,customers!$I$1:$I$1001,,0)</f>
        <v>Yes</v>
      </c>
    </row>
    <row r="205" spans="1:16" x14ac:dyDescent="0.2">
      <c r="A205" s="2" t="s">
        <v>1632</v>
      </c>
      <c r="B205" s="3">
        <v>44608</v>
      </c>
      <c r="C205" s="2" t="s">
        <v>1633</v>
      </c>
      <c r="D205" t="s">
        <v>6145</v>
      </c>
      <c r="E205" s="2">
        <v>1</v>
      </c>
      <c r="F205" s="2" t="str">
        <f>_xlfn.XLOOKUP(C205,customers!$A204:$A1204,customers!$B204:$B1204,,0)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5">
        <f>INDEX(products!$A$1:$G$49,MATCH(orders!$D205,products!$A$1:$A$49,0),MATCH(orders!K$1,products!$A$1:$G$1,0))</f>
        <v>0.2</v>
      </c>
      <c r="L205" s="7">
        <f>INDEX(products!$A$1:$G$49,MATCH(orders!$D205,products!$A$1:$A$49,0),MATCH(orders!L$1,products!$A$1:$G$1,0))</f>
        <v>4.7549999999999999</v>
      </c>
      <c r="M205" s="7">
        <f t="shared" si="9"/>
        <v>4.7549999999999999</v>
      </c>
      <c r="N205" t="str">
        <f t="shared" si="10"/>
        <v>Liberica</v>
      </c>
      <c r="O205" t="str">
        <f t="shared" si="11"/>
        <v>Light</v>
      </c>
      <c r="P205" t="str">
        <f>_xlfn.XLOOKUP(Table1[[#This Row],[Customer ID]],customers!$A$1:$A$1001,customers!$I$1:$I$1001,,0)</f>
        <v>No</v>
      </c>
    </row>
    <row r="206" spans="1:16" x14ac:dyDescent="0.2">
      <c r="A206" s="2" t="s">
        <v>1638</v>
      </c>
      <c r="B206" s="3">
        <v>44027</v>
      </c>
      <c r="C206" s="2" t="s">
        <v>1639</v>
      </c>
      <c r="D206" t="s">
        <v>6141</v>
      </c>
      <c r="E206" s="2">
        <v>6</v>
      </c>
      <c r="F206" s="2" t="str">
        <f>_xlfn.XLOOKUP(C206,customers!$A205:$A1205,customers!$B205:$B1205,,0)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5">
        <f>INDEX(products!$A$1:$G$49,MATCH(orders!$D206,products!$A$1:$A$49,0),MATCH(orders!K$1,products!$A$1:$G$1,0))</f>
        <v>1</v>
      </c>
      <c r="L206" s="7">
        <f>INDEX(products!$A$1:$G$49,MATCH(orders!$D206,products!$A$1:$A$49,0),MATCH(orders!L$1,products!$A$1:$G$1,0))</f>
        <v>13.75</v>
      </c>
      <c r="M206" s="7">
        <f t="shared" si="9"/>
        <v>82.5</v>
      </c>
      <c r="N206" t="str">
        <f t="shared" si="10"/>
        <v>Excelsa</v>
      </c>
      <c r="O206" t="str">
        <f t="shared" si="11"/>
        <v>Medium</v>
      </c>
      <c r="P206" t="str">
        <f>_xlfn.XLOOKUP(Table1[[#This Row],[Customer ID]],customers!$A$1:$A$1001,customers!$I$1:$I$1001,,0)</f>
        <v>No</v>
      </c>
    </row>
    <row r="207" spans="1:16" x14ac:dyDescent="0.2">
      <c r="A207" s="2" t="s">
        <v>1643</v>
      </c>
      <c r="B207" s="3">
        <v>43883</v>
      </c>
      <c r="C207" s="2" t="s">
        <v>1644</v>
      </c>
      <c r="D207" t="s">
        <v>6163</v>
      </c>
      <c r="E207" s="2">
        <v>3</v>
      </c>
      <c r="F207" s="2" t="str">
        <f>_xlfn.XLOOKUP(C207,customers!$A206:$A1206,customers!$B206:$B1206,,0)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5">
        <f>INDEX(products!$A$1:$G$49,MATCH(orders!$D207,products!$A$1:$A$49,0),MATCH(orders!K$1,products!$A$1:$G$1,0))</f>
        <v>0.2</v>
      </c>
      <c r="L207" s="7">
        <f>INDEX(products!$A$1:$G$49,MATCH(orders!$D207,products!$A$1:$A$49,0),MATCH(orders!L$1,products!$A$1:$G$1,0))</f>
        <v>2.6849999999999996</v>
      </c>
      <c r="M207" s="7">
        <f t="shared" si="9"/>
        <v>8.0549999999999997</v>
      </c>
      <c r="N207" t="str">
        <f t="shared" si="10"/>
        <v>Robusta</v>
      </c>
      <c r="O207" t="str">
        <f t="shared" si="11"/>
        <v>Dark</v>
      </c>
      <c r="P207" t="str">
        <f>_xlfn.XLOOKUP(Table1[[#This Row],[Customer ID]],customers!$A$1:$A$1001,customers!$I$1:$I$1001,,0)</f>
        <v>Yes</v>
      </c>
    </row>
    <row r="208" spans="1:16" x14ac:dyDescent="0.2">
      <c r="A208" s="2" t="s">
        <v>1648</v>
      </c>
      <c r="B208" s="3">
        <v>44211</v>
      </c>
      <c r="C208" s="2" t="s">
        <v>1649</v>
      </c>
      <c r="D208" t="s">
        <v>6155</v>
      </c>
      <c r="E208" s="2">
        <v>2</v>
      </c>
      <c r="F208" s="2" t="str">
        <f>_xlfn.XLOOKUP(C208,customers!$A207:$A1207,customers!$B207:$B1207,,0)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5">
        <f>INDEX(products!$A$1:$G$49,MATCH(orders!$D208,products!$A$1:$A$49,0),MATCH(orders!K$1,products!$A$1:$G$1,0))</f>
        <v>1</v>
      </c>
      <c r="L208" s="7">
        <f>INDEX(products!$A$1:$G$49,MATCH(orders!$D208,products!$A$1:$A$49,0),MATCH(orders!L$1,products!$A$1:$G$1,0))</f>
        <v>11.25</v>
      </c>
      <c r="M208" s="7">
        <f t="shared" si="9"/>
        <v>22.5</v>
      </c>
      <c r="N208" t="str">
        <f t="shared" si="10"/>
        <v>Arabica</v>
      </c>
      <c r="O208" t="str">
        <f t="shared" si="11"/>
        <v>Medium</v>
      </c>
      <c r="P208" t="str">
        <f>_xlfn.XLOOKUP(Table1[[#This Row],[Customer ID]],customers!$A$1:$A$1001,customers!$I$1:$I$1001,,0)</f>
        <v>No</v>
      </c>
    </row>
    <row r="209" spans="1:16" x14ac:dyDescent="0.2">
      <c r="A209" s="2" t="s">
        <v>1653</v>
      </c>
      <c r="B209" s="3">
        <v>44207</v>
      </c>
      <c r="C209" s="2" t="s">
        <v>1654</v>
      </c>
      <c r="D209" t="s">
        <v>6157</v>
      </c>
      <c r="E209" s="2">
        <v>6</v>
      </c>
      <c r="F209" s="2" t="str">
        <f>_xlfn.XLOOKUP(C209,customers!$A208:$A1208,customers!$B208:$B1208,,0)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5">
        <f>INDEX(products!$A$1:$G$49,MATCH(orders!$D209,products!$A$1:$A$49,0),MATCH(orders!K$1,products!$A$1:$G$1,0))</f>
        <v>0.5</v>
      </c>
      <c r="L209" s="7">
        <f>INDEX(products!$A$1:$G$49,MATCH(orders!$D209,products!$A$1:$A$49,0),MATCH(orders!L$1,products!$A$1:$G$1,0))</f>
        <v>6.75</v>
      </c>
      <c r="M209" s="7">
        <f t="shared" si="9"/>
        <v>40.5</v>
      </c>
      <c r="N209" t="str">
        <f t="shared" si="10"/>
        <v>Arabica</v>
      </c>
      <c r="O209" t="str">
        <f t="shared" si="11"/>
        <v>Medium</v>
      </c>
      <c r="P209" t="str">
        <f>_xlfn.XLOOKUP(Table1[[#This Row],[Customer ID]],customers!$A$1:$A$1001,customers!$I$1:$I$1001,,0)</f>
        <v>Yes</v>
      </c>
    </row>
    <row r="210" spans="1:16" x14ac:dyDescent="0.2">
      <c r="A210" s="2" t="s">
        <v>1659</v>
      </c>
      <c r="B210" s="3">
        <v>44659</v>
      </c>
      <c r="C210" s="2" t="s">
        <v>1660</v>
      </c>
      <c r="D210" t="s">
        <v>6144</v>
      </c>
      <c r="E210" s="2">
        <v>4</v>
      </c>
      <c r="F210" s="2" t="str">
        <f>_xlfn.XLOOKUP(C210,customers!$A209:$A1209,customers!$B209:$B1209,,0)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5">
        <f>INDEX(products!$A$1:$G$49,MATCH(orders!$D210,products!$A$1:$A$49,0),MATCH(orders!K$1,products!$A$1:$G$1,0))</f>
        <v>0.5</v>
      </c>
      <c r="L210" s="7">
        <f>INDEX(products!$A$1:$G$49,MATCH(orders!$D210,products!$A$1:$A$49,0),MATCH(orders!L$1,products!$A$1:$G$1,0))</f>
        <v>7.29</v>
      </c>
      <c r="M210" s="7">
        <f t="shared" si="9"/>
        <v>29.16</v>
      </c>
      <c r="N210" t="str">
        <f t="shared" si="10"/>
        <v>Excelsa</v>
      </c>
      <c r="O210" t="str">
        <f t="shared" si="11"/>
        <v>Dark</v>
      </c>
      <c r="P210" t="str">
        <f>_xlfn.XLOOKUP(Table1[[#This Row],[Customer ID]],customers!$A$1:$A$1001,customers!$I$1:$I$1001,,0)</f>
        <v>Yes</v>
      </c>
    </row>
    <row r="211" spans="1:16" x14ac:dyDescent="0.2">
      <c r="A211" s="2" t="s">
        <v>1665</v>
      </c>
      <c r="B211" s="3">
        <v>44105</v>
      </c>
      <c r="C211" s="2" t="s">
        <v>1666</v>
      </c>
      <c r="D211" t="s">
        <v>6157</v>
      </c>
      <c r="E211" s="2">
        <v>1</v>
      </c>
      <c r="F211" s="2" t="str">
        <f>_xlfn.XLOOKUP(C211,customers!$A210:$A1210,customers!$B210:$B1210,,0)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5">
        <f>INDEX(products!$A$1:$G$49,MATCH(orders!$D211,products!$A$1:$A$49,0),MATCH(orders!K$1,products!$A$1:$G$1,0))</f>
        <v>0.5</v>
      </c>
      <c r="L211" s="7">
        <f>INDEX(products!$A$1:$G$49,MATCH(orders!$D211,products!$A$1:$A$49,0),MATCH(orders!L$1,products!$A$1:$G$1,0))</f>
        <v>6.75</v>
      </c>
      <c r="M211" s="7">
        <f t="shared" si="9"/>
        <v>6.75</v>
      </c>
      <c r="N211" t="str">
        <f t="shared" si="10"/>
        <v>Arabica</v>
      </c>
      <c r="O211" t="str">
        <f t="shared" si="11"/>
        <v>Medium</v>
      </c>
      <c r="P211" t="str">
        <f>_xlfn.XLOOKUP(Table1[[#This Row],[Customer ID]],customers!$A$1:$A$1001,customers!$I$1:$I$1001,,0)</f>
        <v>No</v>
      </c>
    </row>
    <row r="212" spans="1:16" x14ac:dyDescent="0.2">
      <c r="A212" s="2" t="s">
        <v>1671</v>
      </c>
      <c r="B212" s="3">
        <v>43766</v>
      </c>
      <c r="C212" s="2" t="s">
        <v>1672</v>
      </c>
      <c r="D212" t="s">
        <v>6143</v>
      </c>
      <c r="E212" s="2">
        <v>4</v>
      </c>
      <c r="F212" s="2" t="str">
        <f>_xlfn.XLOOKUP(C212,customers!$A211:$A1211,customers!$B211:$B1211,,0)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5">
        <f>INDEX(products!$A$1:$G$49,MATCH(orders!$D212,products!$A$1:$A$49,0),MATCH(orders!K$1,products!$A$1:$G$1,0))</f>
        <v>1</v>
      </c>
      <c r="L212" s="7">
        <f>INDEX(products!$A$1:$G$49,MATCH(orders!$D212,products!$A$1:$A$49,0),MATCH(orders!L$1,products!$A$1:$G$1,0))</f>
        <v>12.95</v>
      </c>
      <c r="M212" s="7">
        <f t="shared" si="9"/>
        <v>51.8</v>
      </c>
      <c r="N212" t="str">
        <f t="shared" si="10"/>
        <v>Liberica</v>
      </c>
      <c r="O212" t="str">
        <f t="shared" si="11"/>
        <v>Dark</v>
      </c>
      <c r="P212" t="str">
        <f>_xlfn.XLOOKUP(Table1[[#This Row],[Customer ID]],customers!$A$1:$A$1001,customers!$I$1:$I$1001,,0)</f>
        <v>Yes</v>
      </c>
    </row>
    <row r="213" spans="1:16" x14ac:dyDescent="0.2">
      <c r="A213" s="2" t="s">
        <v>1677</v>
      </c>
      <c r="B213" s="3">
        <v>44283</v>
      </c>
      <c r="C213" s="2" t="s">
        <v>1678</v>
      </c>
      <c r="D213" t="s">
        <v>6176</v>
      </c>
      <c r="E213" s="2">
        <v>6</v>
      </c>
      <c r="F213" s="2" t="str">
        <f>_xlfn.XLOOKUP(C213,customers!$A212:$A1212,customers!$B212:$B1212,,0)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5">
        <f>INDEX(products!$A$1:$G$49,MATCH(orders!$D213,products!$A$1:$A$49,0),MATCH(orders!K$1,products!$A$1:$G$1,0))</f>
        <v>0.5</v>
      </c>
      <c r="L213" s="7">
        <f>INDEX(products!$A$1:$G$49,MATCH(orders!$D213,products!$A$1:$A$49,0),MATCH(orders!L$1,products!$A$1:$G$1,0))</f>
        <v>8.91</v>
      </c>
      <c r="M213" s="7">
        <f t="shared" si="9"/>
        <v>53.46</v>
      </c>
      <c r="N213" t="str">
        <f t="shared" si="10"/>
        <v>Excelsa</v>
      </c>
      <c r="O213" t="str">
        <f t="shared" si="11"/>
        <v>Light</v>
      </c>
      <c r="P213" t="str">
        <f>_xlfn.XLOOKUP(Table1[[#This Row],[Customer ID]],customers!$A$1:$A$1001,customers!$I$1:$I$1001,,0)</f>
        <v>No</v>
      </c>
    </row>
    <row r="214" spans="1:16" x14ac:dyDescent="0.2">
      <c r="A214" s="2" t="s">
        <v>1682</v>
      </c>
      <c r="B214" s="3">
        <v>43921</v>
      </c>
      <c r="C214" s="2" t="s">
        <v>1683</v>
      </c>
      <c r="D214" t="s">
        <v>6153</v>
      </c>
      <c r="E214" s="2">
        <v>4</v>
      </c>
      <c r="F214" s="2" t="str">
        <f>_xlfn.XLOOKUP(C214,customers!$A213:$A1213,customers!$B213:$B1213,,0)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5">
        <f>INDEX(products!$A$1:$G$49,MATCH(orders!$D214,products!$A$1:$A$49,0),MATCH(orders!K$1,products!$A$1:$G$1,0))</f>
        <v>0.2</v>
      </c>
      <c r="L214" s="7">
        <f>INDEX(products!$A$1:$G$49,MATCH(orders!$D214,products!$A$1:$A$49,0),MATCH(orders!L$1,products!$A$1:$G$1,0))</f>
        <v>3.645</v>
      </c>
      <c r="M214" s="7">
        <f t="shared" si="9"/>
        <v>14.58</v>
      </c>
      <c r="N214" t="str">
        <f t="shared" si="10"/>
        <v>Excelsa</v>
      </c>
      <c r="O214" t="str">
        <f t="shared" si="11"/>
        <v>Dark</v>
      </c>
      <c r="P214" t="str">
        <f>_xlfn.XLOOKUP(Table1[[#This Row],[Customer ID]],customers!$A$1:$A$1001,customers!$I$1:$I$1001,,0)</f>
        <v>Yes</v>
      </c>
    </row>
    <row r="215" spans="1:16" x14ac:dyDescent="0.2">
      <c r="A215" s="2" t="s">
        <v>1688</v>
      </c>
      <c r="B215" s="3">
        <v>44646</v>
      </c>
      <c r="C215" s="2" t="s">
        <v>1689</v>
      </c>
      <c r="D215" t="s">
        <v>6149</v>
      </c>
      <c r="E215" s="2">
        <v>1</v>
      </c>
      <c r="F215" s="2" t="str">
        <f>_xlfn.XLOOKUP(C215,customers!$A214:$A1214,customers!$B214:$B1214,,0)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5">
        <f>INDEX(products!$A$1:$G$49,MATCH(orders!$D215,products!$A$1:$A$49,0),MATCH(orders!K$1,products!$A$1:$G$1,0))</f>
        <v>2.5</v>
      </c>
      <c r="L215" s="7">
        <f>INDEX(products!$A$1:$G$49,MATCH(orders!$D215,products!$A$1:$A$49,0),MATCH(orders!L$1,products!$A$1:$G$1,0))</f>
        <v>20.584999999999997</v>
      </c>
      <c r="M215" s="7">
        <f t="shared" si="9"/>
        <v>20.584999999999997</v>
      </c>
      <c r="N215" t="str">
        <f t="shared" si="10"/>
        <v>Robusta</v>
      </c>
      <c r="O215" t="str">
        <f t="shared" si="11"/>
        <v>Dark</v>
      </c>
      <c r="P215" t="str">
        <f>_xlfn.XLOOKUP(Table1[[#This Row],[Customer ID]],customers!$A$1:$A$1001,customers!$I$1:$I$1001,,0)</f>
        <v>No</v>
      </c>
    </row>
    <row r="216" spans="1:16" x14ac:dyDescent="0.2">
      <c r="A216" s="2" t="s">
        <v>1694</v>
      </c>
      <c r="B216" s="3">
        <v>43775</v>
      </c>
      <c r="C216" s="2" t="s">
        <v>1695</v>
      </c>
      <c r="D216" t="s">
        <v>6170</v>
      </c>
      <c r="E216" s="2">
        <v>2</v>
      </c>
      <c r="F216" s="2" t="str">
        <f>_xlfn.XLOOKUP(C216,customers!$A215:$A1215,customers!$B215:$B1215,,0)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5">
        <f>INDEX(products!$A$1:$G$49,MATCH(orders!$D216,products!$A$1:$A$49,0),MATCH(orders!K$1,products!$A$1:$G$1,0))</f>
        <v>1</v>
      </c>
      <c r="L216" s="7">
        <f>INDEX(products!$A$1:$G$49,MATCH(orders!$D216,products!$A$1:$A$49,0),MATCH(orders!L$1,products!$A$1:$G$1,0))</f>
        <v>15.85</v>
      </c>
      <c r="M216" s="7">
        <f t="shared" si="9"/>
        <v>31.7</v>
      </c>
      <c r="N216" t="str">
        <f t="shared" si="10"/>
        <v>Liberica</v>
      </c>
      <c r="O216" t="str">
        <f t="shared" si="11"/>
        <v>Light</v>
      </c>
      <c r="P216" t="str">
        <f>_xlfn.XLOOKUP(Table1[[#This Row],[Customer ID]],customers!$A$1:$A$1001,customers!$I$1:$I$1001,,0)</f>
        <v>No</v>
      </c>
    </row>
    <row r="217" spans="1:16" x14ac:dyDescent="0.2">
      <c r="A217" s="2" t="s">
        <v>1701</v>
      </c>
      <c r="B217" s="3">
        <v>43829</v>
      </c>
      <c r="C217" s="2" t="s">
        <v>1702</v>
      </c>
      <c r="D217" t="s">
        <v>6150</v>
      </c>
      <c r="E217" s="2">
        <v>6</v>
      </c>
      <c r="F217" s="2" t="str">
        <f>_xlfn.XLOOKUP(C217,customers!$A216:$A1216,customers!$B216:$B1216,,0)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5">
        <f>INDEX(products!$A$1:$G$49,MATCH(orders!$D217,products!$A$1:$A$49,0),MATCH(orders!K$1,products!$A$1:$G$1,0))</f>
        <v>0.2</v>
      </c>
      <c r="L217" s="7">
        <f>INDEX(products!$A$1:$G$49,MATCH(orders!$D217,products!$A$1:$A$49,0),MATCH(orders!L$1,products!$A$1:$G$1,0))</f>
        <v>3.8849999999999998</v>
      </c>
      <c r="M217" s="7">
        <f t="shared" si="9"/>
        <v>23.31</v>
      </c>
      <c r="N217" t="str">
        <f t="shared" si="10"/>
        <v>Liberica</v>
      </c>
      <c r="O217" t="str">
        <f t="shared" si="11"/>
        <v>Dark</v>
      </c>
      <c r="P217" t="str">
        <f>_xlfn.XLOOKUP(Table1[[#This Row],[Customer ID]],customers!$A$1:$A$1001,customers!$I$1:$I$1001,,0)</f>
        <v>No</v>
      </c>
    </row>
    <row r="218" spans="1:16" x14ac:dyDescent="0.2">
      <c r="A218" s="2" t="s">
        <v>1707</v>
      </c>
      <c r="B218" s="3">
        <v>44470</v>
      </c>
      <c r="C218" s="2" t="s">
        <v>1708</v>
      </c>
      <c r="D218" t="s">
        <v>6162</v>
      </c>
      <c r="E218" s="2">
        <v>4</v>
      </c>
      <c r="F218" s="2" t="str">
        <f>_xlfn.XLOOKUP(C218,customers!$A217:$A1217,customers!$B217:$B1217,,0)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5">
        <f>INDEX(products!$A$1:$G$49,MATCH(orders!$D218,products!$A$1:$A$49,0),MATCH(orders!K$1,products!$A$1:$G$1,0))</f>
        <v>1</v>
      </c>
      <c r="L218" s="7">
        <f>INDEX(products!$A$1:$G$49,MATCH(orders!$D218,products!$A$1:$A$49,0),MATCH(orders!L$1,products!$A$1:$G$1,0))</f>
        <v>14.55</v>
      </c>
      <c r="M218" s="7">
        <f t="shared" si="9"/>
        <v>58.2</v>
      </c>
      <c r="N218" t="str">
        <f t="shared" si="10"/>
        <v>Liberica</v>
      </c>
      <c r="O218" t="str">
        <f t="shared" si="11"/>
        <v>Medium</v>
      </c>
      <c r="P218" t="str">
        <f>_xlfn.XLOOKUP(Table1[[#This Row],[Customer ID]],customers!$A$1:$A$1001,customers!$I$1:$I$1001,,0)</f>
        <v>Yes</v>
      </c>
    </row>
    <row r="219" spans="1:16" x14ac:dyDescent="0.2">
      <c r="A219" s="2" t="s">
        <v>1713</v>
      </c>
      <c r="B219" s="3">
        <v>44174</v>
      </c>
      <c r="C219" s="2" t="s">
        <v>1714</v>
      </c>
      <c r="D219" t="s">
        <v>6176</v>
      </c>
      <c r="E219" s="2">
        <v>4</v>
      </c>
      <c r="F219" s="2" t="str">
        <f>_xlfn.XLOOKUP(C219,customers!$A218:$A1218,customers!$B218:$B1218,,0)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5">
        <f>INDEX(products!$A$1:$G$49,MATCH(orders!$D219,products!$A$1:$A$49,0),MATCH(orders!K$1,products!$A$1:$G$1,0))</f>
        <v>0.5</v>
      </c>
      <c r="L219" s="7">
        <f>INDEX(products!$A$1:$G$49,MATCH(orders!$D219,products!$A$1:$A$49,0),MATCH(orders!L$1,products!$A$1:$G$1,0))</f>
        <v>8.91</v>
      </c>
      <c r="M219" s="7">
        <f t="shared" si="9"/>
        <v>35.64</v>
      </c>
      <c r="N219" t="str">
        <f t="shared" si="10"/>
        <v>Excelsa</v>
      </c>
      <c r="O219" t="str">
        <f t="shared" si="11"/>
        <v>Light</v>
      </c>
      <c r="P219" t="str">
        <f>_xlfn.XLOOKUP(Table1[[#This Row],[Customer ID]],customers!$A$1:$A$1001,customers!$I$1:$I$1001,,0)</f>
        <v>No</v>
      </c>
    </row>
    <row r="220" spans="1:16" x14ac:dyDescent="0.2">
      <c r="A220" s="2" t="s">
        <v>1719</v>
      </c>
      <c r="B220" s="3">
        <v>44317</v>
      </c>
      <c r="C220" s="2" t="s">
        <v>1720</v>
      </c>
      <c r="D220" t="s">
        <v>6155</v>
      </c>
      <c r="E220" s="2">
        <v>5</v>
      </c>
      <c r="F220" s="2" t="str">
        <f>_xlfn.XLOOKUP(C220,customers!$A219:$A1219,customers!$B219:$B1219,,0)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5">
        <f>INDEX(products!$A$1:$G$49,MATCH(orders!$D220,products!$A$1:$A$49,0),MATCH(orders!K$1,products!$A$1:$G$1,0))</f>
        <v>1</v>
      </c>
      <c r="L220" s="7">
        <f>INDEX(products!$A$1:$G$49,MATCH(orders!$D220,products!$A$1:$A$49,0),MATCH(orders!L$1,products!$A$1:$G$1,0))</f>
        <v>11.25</v>
      </c>
      <c r="M220" s="7">
        <f t="shared" si="9"/>
        <v>56.25</v>
      </c>
      <c r="N220" t="str">
        <f t="shared" si="10"/>
        <v>Arabica</v>
      </c>
      <c r="O220" t="str">
        <f t="shared" si="11"/>
        <v>Medium</v>
      </c>
      <c r="P220" t="str">
        <f>_xlfn.XLOOKUP(Table1[[#This Row],[Customer ID]],customers!$A$1:$A$1001,customers!$I$1:$I$1001,,0)</f>
        <v>Yes</v>
      </c>
    </row>
    <row r="221" spans="1:16" x14ac:dyDescent="0.2">
      <c r="A221" s="2" t="s">
        <v>1725</v>
      </c>
      <c r="B221" s="3">
        <v>44777</v>
      </c>
      <c r="C221" s="2" t="s">
        <v>1726</v>
      </c>
      <c r="D221" t="s">
        <v>6178</v>
      </c>
      <c r="E221" s="2">
        <v>3</v>
      </c>
      <c r="F221" s="2" t="str">
        <f>_xlfn.XLOOKUP(C221,customers!$A220:$A1220,customers!$B220:$B1220,,0)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5">
        <f>INDEX(products!$A$1:$G$49,MATCH(orders!$D221,products!$A$1:$A$49,0),MATCH(orders!K$1,products!$A$1:$G$1,0))</f>
        <v>0.2</v>
      </c>
      <c r="L221" s="7">
        <f>INDEX(products!$A$1:$G$49,MATCH(orders!$D221,products!$A$1:$A$49,0),MATCH(orders!L$1,products!$A$1:$G$1,0))</f>
        <v>3.5849999999999995</v>
      </c>
      <c r="M221" s="7">
        <f t="shared" si="9"/>
        <v>10.754999999999999</v>
      </c>
      <c r="N221" t="str">
        <f t="shared" si="10"/>
        <v>Robusta</v>
      </c>
      <c r="O221" t="str">
        <f t="shared" si="11"/>
        <v>Light</v>
      </c>
      <c r="P221" t="str">
        <f>_xlfn.XLOOKUP(Table1[[#This Row],[Customer ID]],customers!$A$1:$A$1001,customers!$I$1:$I$1001,,0)</f>
        <v>No</v>
      </c>
    </row>
    <row r="222" spans="1:16" x14ac:dyDescent="0.2">
      <c r="A222" s="2" t="s">
        <v>1725</v>
      </c>
      <c r="B222" s="3">
        <v>44777</v>
      </c>
      <c r="C222" s="2" t="s">
        <v>1726</v>
      </c>
      <c r="D222" t="s">
        <v>6174</v>
      </c>
      <c r="E222" s="2">
        <v>5</v>
      </c>
      <c r="F222" s="2" t="str">
        <f>_xlfn.XLOOKUP(C222,customers!$A221:$A1221,customers!$B221:$B1221,,0)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5">
        <f>INDEX(products!$A$1:$G$49,MATCH(orders!$D222,products!$A$1:$A$49,0),MATCH(orders!K$1,products!$A$1:$G$1,0))</f>
        <v>0.2</v>
      </c>
      <c r="L222" s="7">
        <f>INDEX(products!$A$1:$G$49,MATCH(orders!$D222,products!$A$1:$A$49,0),MATCH(orders!L$1,products!$A$1:$G$1,0))</f>
        <v>2.9849999999999999</v>
      </c>
      <c r="M222" s="7">
        <f t="shared" si="9"/>
        <v>14.924999999999999</v>
      </c>
      <c r="N222" t="str">
        <f t="shared" si="10"/>
        <v>Robusta</v>
      </c>
      <c r="O222" t="str">
        <f t="shared" si="11"/>
        <v>Medium</v>
      </c>
      <c r="P222" t="str">
        <f>_xlfn.XLOOKUP(Table1[[#This Row],[Customer ID]],customers!$A$1:$A$1001,customers!$I$1:$I$1001,,0)</f>
        <v>No</v>
      </c>
    </row>
    <row r="223" spans="1:16" x14ac:dyDescent="0.2">
      <c r="A223" s="2" t="s">
        <v>1736</v>
      </c>
      <c r="B223" s="3">
        <v>44513</v>
      </c>
      <c r="C223" s="2" t="s">
        <v>1737</v>
      </c>
      <c r="D223" t="s">
        <v>6140</v>
      </c>
      <c r="E223" s="2">
        <v>6</v>
      </c>
      <c r="F223" s="2" t="str">
        <f>_xlfn.XLOOKUP(C223,customers!$A222:$A1222,customers!$B222:$B1222,,0)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5">
        <f>INDEX(products!$A$1:$G$49,MATCH(orders!$D223,products!$A$1:$A$49,0),MATCH(orders!K$1,products!$A$1:$G$1,0))</f>
        <v>1</v>
      </c>
      <c r="L223" s="7">
        <f>INDEX(products!$A$1:$G$49,MATCH(orders!$D223,products!$A$1:$A$49,0),MATCH(orders!L$1,products!$A$1:$G$1,0))</f>
        <v>12.95</v>
      </c>
      <c r="M223" s="7">
        <f t="shared" si="9"/>
        <v>77.699999999999989</v>
      </c>
      <c r="N223" t="str">
        <f t="shared" si="10"/>
        <v>Arabica</v>
      </c>
      <c r="O223" t="str">
        <f t="shared" si="11"/>
        <v>Light</v>
      </c>
      <c r="P223" t="str">
        <f>_xlfn.XLOOKUP(Table1[[#This Row],[Customer ID]],customers!$A$1:$A$1001,customers!$I$1:$I$1001,,0)</f>
        <v>Yes</v>
      </c>
    </row>
    <row r="224" spans="1:16" x14ac:dyDescent="0.2">
      <c r="A224" s="2" t="s">
        <v>1742</v>
      </c>
      <c r="B224" s="3">
        <v>44090</v>
      </c>
      <c r="C224" s="2" t="s">
        <v>1743</v>
      </c>
      <c r="D224" t="s">
        <v>6169</v>
      </c>
      <c r="E224" s="2">
        <v>3</v>
      </c>
      <c r="F224" s="2" t="str">
        <f>_xlfn.XLOOKUP(C224,customers!$A223:$A1223,customers!$B223:$B1223,,0)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5">
        <f>INDEX(products!$A$1:$G$49,MATCH(orders!$D224,products!$A$1:$A$49,0),MATCH(orders!K$1,products!$A$1:$G$1,0))</f>
        <v>0.5</v>
      </c>
      <c r="L224" s="7">
        <f>INDEX(products!$A$1:$G$49,MATCH(orders!$D224,products!$A$1:$A$49,0),MATCH(orders!L$1,products!$A$1:$G$1,0))</f>
        <v>7.77</v>
      </c>
      <c r="M224" s="7">
        <f t="shared" si="9"/>
        <v>23.31</v>
      </c>
      <c r="N224" t="str">
        <f t="shared" si="10"/>
        <v>Liberica</v>
      </c>
      <c r="O224" t="str">
        <f t="shared" si="11"/>
        <v>Dark</v>
      </c>
      <c r="P224" t="str">
        <f>_xlfn.XLOOKUP(Table1[[#This Row],[Customer ID]],customers!$A$1:$A$1001,customers!$I$1:$I$1001,,0)</f>
        <v>No</v>
      </c>
    </row>
    <row r="225" spans="1:16" x14ac:dyDescent="0.2">
      <c r="A225" s="2" t="s">
        <v>1748</v>
      </c>
      <c r="B225" s="3">
        <v>44109</v>
      </c>
      <c r="C225" s="2" t="s">
        <v>1749</v>
      </c>
      <c r="D225" t="s">
        <v>6171</v>
      </c>
      <c r="E225" s="2">
        <v>4</v>
      </c>
      <c r="F225" s="2" t="str">
        <f>_xlfn.XLOOKUP(C225,customers!$A224:$A1224,customers!$B224:$B1224,,0)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5">
        <f>INDEX(products!$A$1:$G$49,MATCH(orders!$D225,products!$A$1:$A$49,0),MATCH(orders!K$1,products!$A$1:$G$1,0))</f>
        <v>1</v>
      </c>
      <c r="L225" s="7">
        <f>INDEX(products!$A$1:$G$49,MATCH(orders!$D225,products!$A$1:$A$49,0),MATCH(orders!L$1,products!$A$1:$G$1,0))</f>
        <v>14.85</v>
      </c>
      <c r="M225" s="7">
        <f t="shared" si="9"/>
        <v>59.4</v>
      </c>
      <c r="N225" t="str">
        <f t="shared" si="10"/>
        <v>Excelsa</v>
      </c>
      <c r="O225" t="str">
        <f t="shared" si="11"/>
        <v>Light</v>
      </c>
      <c r="P225" t="str">
        <f>_xlfn.XLOOKUP(Table1[[#This Row],[Customer ID]],customers!$A$1:$A$1001,customers!$I$1:$I$1001,,0)</f>
        <v>Yes</v>
      </c>
    </row>
    <row r="226" spans="1:16" x14ac:dyDescent="0.2">
      <c r="A226" s="2" t="s">
        <v>1753</v>
      </c>
      <c r="B226" s="3">
        <v>43836</v>
      </c>
      <c r="C226" s="2" t="s">
        <v>1754</v>
      </c>
      <c r="D226" t="s">
        <v>6165</v>
      </c>
      <c r="E226" s="2">
        <v>4</v>
      </c>
      <c r="F226" s="2" t="str">
        <f>_xlfn.XLOOKUP(C226,customers!$A225:$A1225,customers!$B225:$B1225,,0)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5">
        <f>INDEX(products!$A$1:$G$49,MATCH(orders!$D226,products!$A$1:$A$49,0),MATCH(orders!K$1,products!$A$1:$G$1,0))</f>
        <v>2.5</v>
      </c>
      <c r="L226" s="7">
        <f>INDEX(products!$A$1:$G$49,MATCH(orders!$D226,products!$A$1:$A$49,0),MATCH(orders!L$1,products!$A$1:$G$1,0))</f>
        <v>29.784999999999997</v>
      </c>
      <c r="M226" s="7">
        <f t="shared" si="9"/>
        <v>119.13999999999999</v>
      </c>
      <c r="N226" t="str">
        <f t="shared" si="10"/>
        <v>Liberica</v>
      </c>
      <c r="O226" t="str">
        <f t="shared" si="11"/>
        <v>Dark</v>
      </c>
      <c r="P226" t="str">
        <f>_xlfn.XLOOKUP(Table1[[#This Row],[Customer ID]],customers!$A$1:$A$1001,customers!$I$1:$I$1001,,0)</f>
        <v>Yes</v>
      </c>
    </row>
    <row r="227" spans="1:16" x14ac:dyDescent="0.2">
      <c r="A227" s="2" t="s">
        <v>1759</v>
      </c>
      <c r="B227" s="3">
        <v>44337</v>
      </c>
      <c r="C227" s="2" t="s">
        <v>1760</v>
      </c>
      <c r="D227" t="s">
        <v>6178</v>
      </c>
      <c r="E227" s="2">
        <v>4</v>
      </c>
      <c r="F227" s="2" t="str">
        <f>_xlfn.XLOOKUP(C227,customers!$A226:$A1226,customers!$B226:$B1226,,0)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5">
        <f>INDEX(products!$A$1:$G$49,MATCH(orders!$D227,products!$A$1:$A$49,0),MATCH(orders!K$1,products!$A$1:$G$1,0))</f>
        <v>0.2</v>
      </c>
      <c r="L227" s="7">
        <f>INDEX(products!$A$1:$G$49,MATCH(orders!$D227,products!$A$1:$A$49,0),MATCH(orders!L$1,products!$A$1:$G$1,0))</f>
        <v>3.5849999999999995</v>
      </c>
      <c r="M227" s="7">
        <f t="shared" si="9"/>
        <v>14.339999999999998</v>
      </c>
      <c r="N227" t="str">
        <f t="shared" si="10"/>
        <v>Robusta</v>
      </c>
      <c r="O227" t="str">
        <f t="shared" si="11"/>
        <v>Light</v>
      </c>
      <c r="P227" t="str">
        <f>_xlfn.XLOOKUP(Table1[[#This Row],[Customer ID]],customers!$A$1:$A$1001,customers!$I$1:$I$1001,,0)</f>
        <v>No</v>
      </c>
    </row>
    <row r="228" spans="1:16" x14ac:dyDescent="0.2">
      <c r="A228" s="2" t="s">
        <v>1765</v>
      </c>
      <c r="B228" s="3">
        <v>43887</v>
      </c>
      <c r="C228" s="2" t="s">
        <v>1766</v>
      </c>
      <c r="D228" t="s">
        <v>6175</v>
      </c>
      <c r="E228" s="2">
        <v>5</v>
      </c>
      <c r="F228" s="2" t="str">
        <f>_xlfn.XLOOKUP(C228,customers!$A227:$A1227,customers!$B227:$B1227,,0)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5">
        <f>INDEX(products!$A$1:$G$49,MATCH(orders!$D228,products!$A$1:$A$49,0),MATCH(orders!K$1,products!$A$1:$G$1,0))</f>
        <v>2.5</v>
      </c>
      <c r="L228" s="7">
        <f>INDEX(products!$A$1:$G$49,MATCH(orders!$D228,products!$A$1:$A$49,0),MATCH(orders!L$1,products!$A$1:$G$1,0))</f>
        <v>25.874999999999996</v>
      </c>
      <c r="M228" s="7">
        <f t="shared" si="9"/>
        <v>129.37499999999997</v>
      </c>
      <c r="N228" t="str">
        <f t="shared" si="10"/>
        <v>Arabica</v>
      </c>
      <c r="O228" t="str">
        <f t="shared" si="11"/>
        <v>Medium</v>
      </c>
      <c r="P228" t="str">
        <f>_xlfn.XLOOKUP(Table1[[#This Row],[Customer ID]],customers!$A$1:$A$1001,customers!$I$1:$I$1001,,0)</f>
        <v>No</v>
      </c>
    </row>
    <row r="229" spans="1:16" x14ac:dyDescent="0.2">
      <c r="A229" s="2" t="s">
        <v>1771</v>
      </c>
      <c r="B229" s="3">
        <v>43880</v>
      </c>
      <c r="C229" s="2" t="s">
        <v>1772</v>
      </c>
      <c r="D229" t="s">
        <v>6163</v>
      </c>
      <c r="E229" s="2">
        <v>6</v>
      </c>
      <c r="F229" s="2" t="str">
        <f>_xlfn.XLOOKUP(C229,customers!$A228:$A1228,customers!$B228:$B1228,,0)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5">
        <f>INDEX(products!$A$1:$G$49,MATCH(orders!$D229,products!$A$1:$A$49,0),MATCH(orders!K$1,products!$A$1:$G$1,0))</f>
        <v>0.2</v>
      </c>
      <c r="L229" s="7">
        <f>INDEX(products!$A$1:$G$49,MATCH(orders!$D229,products!$A$1:$A$49,0),MATCH(orders!L$1,products!$A$1:$G$1,0))</f>
        <v>2.6849999999999996</v>
      </c>
      <c r="M229" s="7">
        <f t="shared" si="9"/>
        <v>16.11</v>
      </c>
      <c r="N229" t="str">
        <f t="shared" si="10"/>
        <v>Robusta</v>
      </c>
      <c r="O229" t="str">
        <f t="shared" si="11"/>
        <v>Dark</v>
      </c>
      <c r="P229" t="str">
        <f>_xlfn.XLOOKUP(Table1[[#This Row],[Customer ID]],customers!$A$1:$A$1001,customers!$I$1:$I$1001,,0)</f>
        <v>Yes</v>
      </c>
    </row>
    <row r="230" spans="1:16" x14ac:dyDescent="0.2">
      <c r="A230" s="2" t="s">
        <v>1777</v>
      </c>
      <c r="B230" s="3">
        <v>44376</v>
      </c>
      <c r="C230" s="2" t="s">
        <v>1778</v>
      </c>
      <c r="D230" t="s">
        <v>6178</v>
      </c>
      <c r="E230" s="2">
        <v>5</v>
      </c>
      <c r="F230" s="2" t="str">
        <f>_xlfn.XLOOKUP(C230,customers!$A229:$A1229,customers!$B229:$B1229,,0)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5">
        <f>INDEX(products!$A$1:$G$49,MATCH(orders!$D230,products!$A$1:$A$49,0),MATCH(orders!K$1,products!$A$1:$G$1,0))</f>
        <v>0.2</v>
      </c>
      <c r="L230" s="7">
        <f>INDEX(products!$A$1:$G$49,MATCH(orders!$D230,products!$A$1:$A$49,0),MATCH(orders!L$1,products!$A$1:$G$1,0))</f>
        <v>3.5849999999999995</v>
      </c>
      <c r="M230" s="7">
        <f t="shared" si="9"/>
        <v>17.924999999999997</v>
      </c>
      <c r="N230" t="str">
        <f t="shared" si="10"/>
        <v>Robusta</v>
      </c>
      <c r="O230" t="str">
        <f t="shared" si="11"/>
        <v>Light</v>
      </c>
      <c r="P230" t="str">
        <f>_xlfn.XLOOKUP(Table1[[#This Row],[Customer ID]],customers!$A$1:$A$1001,customers!$I$1:$I$1001,,0)</f>
        <v>No</v>
      </c>
    </row>
    <row r="231" spans="1:16" x14ac:dyDescent="0.2">
      <c r="A231" s="2" t="s">
        <v>1783</v>
      </c>
      <c r="B231" s="3">
        <v>44282</v>
      </c>
      <c r="C231" s="2" t="s">
        <v>1784</v>
      </c>
      <c r="D231" t="s">
        <v>6159</v>
      </c>
      <c r="E231" s="2">
        <v>2</v>
      </c>
      <c r="F231" s="2" t="str">
        <f>_xlfn.XLOOKUP(C231,customers!$A230:$A1230,customers!$B230:$B1230,,0)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5">
        <f>INDEX(products!$A$1:$G$49,MATCH(orders!$D231,products!$A$1:$A$49,0),MATCH(orders!K$1,products!$A$1:$G$1,0))</f>
        <v>0.2</v>
      </c>
      <c r="L231" s="7">
        <f>INDEX(products!$A$1:$G$49,MATCH(orders!$D231,products!$A$1:$A$49,0),MATCH(orders!L$1,products!$A$1:$G$1,0))</f>
        <v>4.3650000000000002</v>
      </c>
      <c r="M231" s="7">
        <f t="shared" si="9"/>
        <v>8.73</v>
      </c>
      <c r="N231" t="str">
        <f t="shared" si="10"/>
        <v>Liberica</v>
      </c>
      <c r="O231" t="str">
        <f t="shared" si="11"/>
        <v>Medium</v>
      </c>
      <c r="P231" t="str">
        <f>_xlfn.XLOOKUP(Table1[[#This Row],[Customer ID]],customers!$A$1:$A$1001,customers!$I$1:$I$1001,,0)</f>
        <v>No</v>
      </c>
    </row>
    <row r="232" spans="1:16" x14ac:dyDescent="0.2">
      <c r="A232" s="2" t="s">
        <v>1789</v>
      </c>
      <c r="B232" s="3">
        <v>44496</v>
      </c>
      <c r="C232" s="2" t="s">
        <v>1790</v>
      </c>
      <c r="D232" t="s">
        <v>6175</v>
      </c>
      <c r="E232" s="2">
        <v>2</v>
      </c>
      <c r="F232" s="2" t="str">
        <f>_xlfn.XLOOKUP(C232,customers!$A231:$A1231,customers!$B231:$B1231,,0)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5">
        <f>INDEX(products!$A$1:$G$49,MATCH(orders!$D232,products!$A$1:$A$49,0),MATCH(orders!K$1,products!$A$1:$G$1,0))</f>
        <v>2.5</v>
      </c>
      <c r="L232" s="7">
        <f>INDEX(products!$A$1:$G$49,MATCH(orders!$D232,products!$A$1:$A$49,0),MATCH(orders!L$1,products!$A$1:$G$1,0))</f>
        <v>25.874999999999996</v>
      </c>
      <c r="M232" s="7">
        <f t="shared" si="9"/>
        <v>51.749999999999993</v>
      </c>
      <c r="N232" t="str">
        <f t="shared" si="10"/>
        <v>Arabica</v>
      </c>
      <c r="O232" t="str">
        <f t="shared" si="11"/>
        <v>Medium</v>
      </c>
      <c r="P232" t="str">
        <f>_xlfn.XLOOKUP(Table1[[#This Row],[Customer ID]],customers!$A$1:$A$1001,customers!$I$1:$I$1001,,0)</f>
        <v>No</v>
      </c>
    </row>
    <row r="233" spans="1:16" x14ac:dyDescent="0.2">
      <c r="A233" s="2" t="s">
        <v>1795</v>
      </c>
      <c r="B233" s="3">
        <v>43628</v>
      </c>
      <c r="C233" s="2" t="s">
        <v>1796</v>
      </c>
      <c r="D233" t="s">
        <v>6159</v>
      </c>
      <c r="E233" s="2">
        <v>2</v>
      </c>
      <c r="F233" s="2" t="str">
        <f>_xlfn.XLOOKUP(C233,customers!$A232:$A1232,customers!$B232:$B1232,,0)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5">
        <f>INDEX(products!$A$1:$G$49,MATCH(orders!$D233,products!$A$1:$A$49,0),MATCH(orders!K$1,products!$A$1:$G$1,0))</f>
        <v>0.2</v>
      </c>
      <c r="L233" s="7">
        <f>INDEX(products!$A$1:$G$49,MATCH(orders!$D233,products!$A$1:$A$49,0),MATCH(orders!L$1,products!$A$1:$G$1,0))</f>
        <v>4.3650000000000002</v>
      </c>
      <c r="M233" s="7">
        <f t="shared" si="9"/>
        <v>8.73</v>
      </c>
      <c r="N233" t="str">
        <f t="shared" si="10"/>
        <v>Liberica</v>
      </c>
      <c r="O233" t="str">
        <f t="shared" si="11"/>
        <v>Medium</v>
      </c>
      <c r="P233" t="str">
        <f>_xlfn.XLOOKUP(Table1[[#This Row],[Customer ID]],customers!$A$1:$A$1001,customers!$I$1:$I$1001,,0)</f>
        <v>Yes</v>
      </c>
    </row>
    <row r="234" spans="1:16" x14ac:dyDescent="0.2">
      <c r="A234" s="2" t="s">
        <v>1800</v>
      </c>
      <c r="B234" s="3">
        <v>44010</v>
      </c>
      <c r="C234" s="2" t="s">
        <v>1801</v>
      </c>
      <c r="D234" t="s">
        <v>6145</v>
      </c>
      <c r="E234" s="2">
        <v>5</v>
      </c>
      <c r="F234" s="2" t="str">
        <f>_xlfn.XLOOKUP(C234,customers!$A233:$A1233,customers!$B233:$B1233,,0)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5">
        <f>INDEX(products!$A$1:$G$49,MATCH(orders!$D234,products!$A$1:$A$49,0),MATCH(orders!K$1,products!$A$1:$G$1,0))</f>
        <v>0.2</v>
      </c>
      <c r="L234" s="7">
        <f>INDEX(products!$A$1:$G$49,MATCH(orders!$D234,products!$A$1:$A$49,0),MATCH(orders!L$1,products!$A$1:$G$1,0))</f>
        <v>4.7549999999999999</v>
      </c>
      <c r="M234" s="7">
        <f t="shared" si="9"/>
        <v>23.774999999999999</v>
      </c>
      <c r="N234" t="str">
        <f t="shared" si="10"/>
        <v>Liberica</v>
      </c>
      <c r="O234" t="str">
        <f t="shared" si="11"/>
        <v>Light</v>
      </c>
      <c r="P234" t="str">
        <f>_xlfn.XLOOKUP(Table1[[#This Row],[Customer ID]],customers!$A$1:$A$1001,customers!$I$1:$I$1001,,0)</f>
        <v>No</v>
      </c>
    </row>
    <row r="235" spans="1:16" x14ac:dyDescent="0.2">
      <c r="A235" s="2" t="s">
        <v>1806</v>
      </c>
      <c r="B235" s="3">
        <v>44278</v>
      </c>
      <c r="C235" s="2" t="s">
        <v>1807</v>
      </c>
      <c r="D235" t="s">
        <v>6156</v>
      </c>
      <c r="E235" s="2">
        <v>5</v>
      </c>
      <c r="F235" s="2" t="str">
        <f>_xlfn.XLOOKUP(C235,customers!$A234:$A1234,customers!$B234:$B1234,,0)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5">
        <f>INDEX(products!$A$1:$G$49,MATCH(orders!$D235,products!$A$1:$A$49,0),MATCH(orders!K$1,products!$A$1:$G$1,0))</f>
        <v>0.2</v>
      </c>
      <c r="L235" s="7">
        <f>INDEX(products!$A$1:$G$49,MATCH(orders!$D235,products!$A$1:$A$49,0),MATCH(orders!L$1,products!$A$1:$G$1,0))</f>
        <v>4.125</v>
      </c>
      <c r="M235" s="7">
        <f t="shared" si="9"/>
        <v>20.625</v>
      </c>
      <c r="N235" t="str">
        <f t="shared" si="10"/>
        <v>Excelsa</v>
      </c>
      <c r="O235" t="str">
        <f t="shared" si="11"/>
        <v>Medium</v>
      </c>
      <c r="P235" t="str">
        <f>_xlfn.XLOOKUP(Table1[[#This Row],[Customer ID]],customers!$A$1:$A$1001,customers!$I$1:$I$1001,,0)</f>
        <v>No</v>
      </c>
    </row>
    <row r="236" spans="1:16" x14ac:dyDescent="0.2">
      <c r="A236" s="2" t="s">
        <v>1812</v>
      </c>
      <c r="B236" s="3">
        <v>44602</v>
      </c>
      <c r="C236" s="2" t="s">
        <v>1813</v>
      </c>
      <c r="D236" t="s">
        <v>6164</v>
      </c>
      <c r="E236" s="2">
        <v>1</v>
      </c>
      <c r="F236" s="2" t="str">
        <f>_xlfn.XLOOKUP(C236,customers!$A235:$A1235,customers!$B235:$B1235,,0)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5">
        <f>INDEX(products!$A$1:$G$49,MATCH(orders!$D236,products!$A$1:$A$49,0),MATCH(orders!K$1,products!$A$1:$G$1,0))</f>
        <v>2.5</v>
      </c>
      <c r="L236" s="7">
        <f>INDEX(products!$A$1:$G$49,MATCH(orders!$D236,products!$A$1:$A$49,0),MATCH(orders!L$1,products!$A$1:$G$1,0))</f>
        <v>36.454999999999998</v>
      </c>
      <c r="M236" s="7">
        <f t="shared" si="9"/>
        <v>36.454999999999998</v>
      </c>
      <c r="N236" t="str">
        <f t="shared" si="10"/>
        <v>Liberica</v>
      </c>
      <c r="O236" t="str">
        <f t="shared" si="11"/>
        <v>Light</v>
      </c>
      <c r="P236" t="str">
        <f>_xlfn.XLOOKUP(Table1[[#This Row],[Customer ID]],customers!$A$1:$A$1001,customers!$I$1:$I$1001,,0)</f>
        <v>No</v>
      </c>
    </row>
    <row r="237" spans="1:16" x14ac:dyDescent="0.2">
      <c r="A237" s="2" t="s">
        <v>1818</v>
      </c>
      <c r="B237" s="3">
        <v>43571</v>
      </c>
      <c r="C237" s="2" t="s">
        <v>1819</v>
      </c>
      <c r="D237" t="s">
        <v>6164</v>
      </c>
      <c r="E237" s="2">
        <v>5</v>
      </c>
      <c r="F237" s="2" t="str">
        <f>_xlfn.XLOOKUP(C237,customers!$A236:$A1236,customers!$B236:$B1236,,0)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5">
        <f>INDEX(products!$A$1:$G$49,MATCH(orders!$D237,products!$A$1:$A$49,0),MATCH(orders!K$1,products!$A$1:$G$1,0))</f>
        <v>2.5</v>
      </c>
      <c r="L237" s="7">
        <f>INDEX(products!$A$1:$G$49,MATCH(orders!$D237,products!$A$1:$A$49,0),MATCH(orders!L$1,products!$A$1:$G$1,0))</f>
        <v>36.454999999999998</v>
      </c>
      <c r="M237" s="7">
        <f t="shared" si="9"/>
        <v>182.27499999999998</v>
      </c>
      <c r="N237" t="str">
        <f t="shared" si="10"/>
        <v>Liberica</v>
      </c>
      <c r="O237" t="str">
        <f t="shared" si="11"/>
        <v>Light</v>
      </c>
      <c r="P237" t="str">
        <f>_xlfn.XLOOKUP(Table1[[#This Row],[Customer ID]],customers!$A$1:$A$1001,customers!$I$1:$I$1001,,0)</f>
        <v>No</v>
      </c>
    </row>
    <row r="238" spans="1:16" x14ac:dyDescent="0.2">
      <c r="A238" s="2" t="s">
        <v>1822</v>
      </c>
      <c r="B238" s="3">
        <v>43873</v>
      </c>
      <c r="C238" s="2" t="s">
        <v>1823</v>
      </c>
      <c r="D238" t="s">
        <v>6165</v>
      </c>
      <c r="E238" s="2">
        <v>3</v>
      </c>
      <c r="F238" s="2" t="str">
        <f>_xlfn.XLOOKUP(C238,customers!$A237:$A1237,customers!$B237:$B1237,,0)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5">
        <f>INDEX(products!$A$1:$G$49,MATCH(orders!$D238,products!$A$1:$A$49,0),MATCH(orders!K$1,products!$A$1:$G$1,0))</f>
        <v>2.5</v>
      </c>
      <c r="L238" s="7">
        <f>INDEX(products!$A$1:$G$49,MATCH(orders!$D238,products!$A$1:$A$49,0),MATCH(orders!L$1,products!$A$1:$G$1,0))</f>
        <v>29.784999999999997</v>
      </c>
      <c r="M238" s="7">
        <f t="shared" si="9"/>
        <v>89.35499999999999</v>
      </c>
      <c r="N238" t="str">
        <f t="shared" si="10"/>
        <v>Liberica</v>
      </c>
      <c r="O238" t="str">
        <f t="shared" si="11"/>
        <v>Dark</v>
      </c>
      <c r="P238" t="str">
        <f>_xlfn.XLOOKUP(Table1[[#This Row],[Customer ID]],customers!$A$1:$A$1001,customers!$I$1:$I$1001,,0)</f>
        <v>No</v>
      </c>
    </row>
    <row r="239" spans="1:16" x14ac:dyDescent="0.2">
      <c r="A239" s="2" t="s">
        <v>1828</v>
      </c>
      <c r="B239" s="3">
        <v>44563</v>
      </c>
      <c r="C239" s="2" t="s">
        <v>1829</v>
      </c>
      <c r="D239" t="s">
        <v>6178</v>
      </c>
      <c r="E239" s="2">
        <v>1</v>
      </c>
      <c r="F239" s="2" t="str">
        <f>_xlfn.XLOOKUP(C239,customers!$A238:$A1238,customers!$B238:$B1238,,0)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5">
        <f>INDEX(products!$A$1:$G$49,MATCH(orders!$D239,products!$A$1:$A$49,0),MATCH(orders!K$1,products!$A$1:$G$1,0))</f>
        <v>0.2</v>
      </c>
      <c r="L239" s="7">
        <f>INDEX(products!$A$1:$G$49,MATCH(orders!$D239,products!$A$1:$A$49,0),MATCH(orders!L$1,products!$A$1:$G$1,0))</f>
        <v>3.5849999999999995</v>
      </c>
      <c r="M239" s="7">
        <f t="shared" si="9"/>
        <v>3.5849999999999995</v>
      </c>
      <c r="N239" t="str">
        <f t="shared" si="10"/>
        <v>Robusta</v>
      </c>
      <c r="O239" t="str">
        <f t="shared" si="11"/>
        <v>Light</v>
      </c>
      <c r="P239" t="str">
        <f>_xlfn.XLOOKUP(Table1[[#This Row],[Customer ID]],customers!$A$1:$A$1001,customers!$I$1:$I$1001,,0)</f>
        <v>Yes</v>
      </c>
    </row>
    <row r="240" spans="1:16" x14ac:dyDescent="0.2">
      <c r="A240" s="2" t="s">
        <v>1833</v>
      </c>
      <c r="B240" s="3">
        <v>44172</v>
      </c>
      <c r="C240" s="2" t="s">
        <v>1834</v>
      </c>
      <c r="D240" t="s">
        <v>6151</v>
      </c>
      <c r="E240" s="2">
        <v>2</v>
      </c>
      <c r="F240" s="2" t="str">
        <f>_xlfn.XLOOKUP(C240,customers!$A239:$A1239,customers!$B239:$B1239,,0)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5">
        <f>INDEX(products!$A$1:$G$49,MATCH(orders!$D240,products!$A$1:$A$49,0),MATCH(orders!K$1,products!$A$1:$G$1,0))</f>
        <v>2.5</v>
      </c>
      <c r="L240" s="7">
        <f>INDEX(products!$A$1:$G$49,MATCH(orders!$D240,products!$A$1:$A$49,0),MATCH(orders!L$1,products!$A$1:$G$1,0))</f>
        <v>22.884999999999998</v>
      </c>
      <c r="M240" s="7">
        <f t="shared" si="9"/>
        <v>45.769999999999996</v>
      </c>
      <c r="N240" t="str">
        <f t="shared" si="10"/>
        <v>Robusta</v>
      </c>
      <c r="O240" t="str">
        <f t="shared" si="11"/>
        <v>Medium</v>
      </c>
      <c r="P240" t="str">
        <f>_xlfn.XLOOKUP(Table1[[#This Row],[Customer ID]],customers!$A$1:$A$1001,customers!$I$1:$I$1001,,0)</f>
        <v>Yes</v>
      </c>
    </row>
    <row r="241" spans="1:16" x14ac:dyDescent="0.2">
      <c r="A241" s="2" t="s">
        <v>1839</v>
      </c>
      <c r="B241" s="3">
        <v>43881</v>
      </c>
      <c r="C241" s="2" t="s">
        <v>1840</v>
      </c>
      <c r="D241" t="s">
        <v>6171</v>
      </c>
      <c r="E241" s="2">
        <v>4</v>
      </c>
      <c r="F241" s="2" t="str">
        <f>_xlfn.XLOOKUP(C241,customers!$A240:$A1240,customers!$B240:$B1240,,0)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5">
        <f>INDEX(products!$A$1:$G$49,MATCH(orders!$D241,products!$A$1:$A$49,0),MATCH(orders!K$1,products!$A$1:$G$1,0))</f>
        <v>1</v>
      </c>
      <c r="L241" s="7">
        <f>INDEX(products!$A$1:$G$49,MATCH(orders!$D241,products!$A$1:$A$49,0),MATCH(orders!L$1,products!$A$1:$G$1,0))</f>
        <v>14.85</v>
      </c>
      <c r="M241" s="7">
        <f t="shared" si="9"/>
        <v>59.4</v>
      </c>
      <c r="N241" t="str">
        <f t="shared" si="10"/>
        <v>Excelsa</v>
      </c>
      <c r="O241" t="str">
        <f t="shared" si="11"/>
        <v>Light</v>
      </c>
      <c r="P241" t="str">
        <f>_xlfn.XLOOKUP(Table1[[#This Row],[Customer ID]],customers!$A$1:$A$1001,customers!$I$1:$I$1001,,0)</f>
        <v>No</v>
      </c>
    </row>
    <row r="242" spans="1:16" x14ac:dyDescent="0.2">
      <c r="A242" s="2" t="s">
        <v>1845</v>
      </c>
      <c r="B242" s="3">
        <v>43993</v>
      </c>
      <c r="C242" s="2" t="s">
        <v>1846</v>
      </c>
      <c r="D242" t="s">
        <v>6175</v>
      </c>
      <c r="E242" s="2">
        <v>6</v>
      </c>
      <c r="F242" s="2" t="str">
        <f>_xlfn.XLOOKUP(C242,customers!$A241:$A1241,customers!$B241:$B1241,,0)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5">
        <f>INDEX(products!$A$1:$G$49,MATCH(orders!$D242,products!$A$1:$A$49,0),MATCH(orders!K$1,products!$A$1:$G$1,0))</f>
        <v>2.5</v>
      </c>
      <c r="L242" s="7">
        <f>INDEX(products!$A$1:$G$49,MATCH(orders!$D242,products!$A$1:$A$49,0),MATCH(orders!L$1,products!$A$1:$G$1,0))</f>
        <v>25.874999999999996</v>
      </c>
      <c r="M242" s="7">
        <f t="shared" si="9"/>
        <v>155.24999999999997</v>
      </c>
      <c r="N242" t="str">
        <f t="shared" si="10"/>
        <v>Arabica</v>
      </c>
      <c r="O242" t="str">
        <f t="shared" si="11"/>
        <v>Medium</v>
      </c>
      <c r="P242" t="str">
        <f>_xlfn.XLOOKUP(Table1[[#This Row],[Customer ID]],customers!$A$1:$A$1001,customers!$I$1:$I$1001,,0)</f>
        <v>Yes</v>
      </c>
    </row>
    <row r="243" spans="1:16" x14ac:dyDescent="0.2">
      <c r="A243" s="2" t="s">
        <v>1849</v>
      </c>
      <c r="B243" s="3">
        <v>44082</v>
      </c>
      <c r="C243" s="2" t="s">
        <v>1850</v>
      </c>
      <c r="D243" t="s">
        <v>6151</v>
      </c>
      <c r="E243" s="2">
        <v>2</v>
      </c>
      <c r="F243" s="2" t="str">
        <f>_xlfn.XLOOKUP(C243,customers!$A242:$A1242,customers!$B242:$B1242,,0)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5">
        <f>INDEX(products!$A$1:$G$49,MATCH(orders!$D243,products!$A$1:$A$49,0),MATCH(orders!K$1,products!$A$1:$G$1,0))</f>
        <v>2.5</v>
      </c>
      <c r="L243" s="7">
        <f>INDEX(products!$A$1:$G$49,MATCH(orders!$D243,products!$A$1:$A$49,0),MATCH(orders!L$1,products!$A$1:$G$1,0))</f>
        <v>22.884999999999998</v>
      </c>
      <c r="M243" s="7">
        <f t="shared" si="9"/>
        <v>45.769999999999996</v>
      </c>
      <c r="N243" t="str">
        <f t="shared" si="10"/>
        <v>Robusta</v>
      </c>
      <c r="O243" t="str">
        <f t="shared" si="11"/>
        <v>Medium</v>
      </c>
      <c r="P243" t="str">
        <f>_xlfn.XLOOKUP(Table1[[#This Row],[Customer ID]],customers!$A$1:$A$1001,customers!$I$1:$I$1001,,0)</f>
        <v>No</v>
      </c>
    </row>
    <row r="244" spans="1:16" x14ac:dyDescent="0.2">
      <c r="A244" s="2" t="s">
        <v>1854</v>
      </c>
      <c r="B244" s="3">
        <v>43918</v>
      </c>
      <c r="C244" s="2" t="s">
        <v>1855</v>
      </c>
      <c r="D244" t="s">
        <v>6183</v>
      </c>
      <c r="E244" s="2">
        <v>3</v>
      </c>
      <c r="F244" s="2" t="str">
        <f>_xlfn.XLOOKUP(C244,customers!$A243:$A1243,customers!$B243:$B1243,,0)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5">
        <f>INDEX(products!$A$1:$G$49,MATCH(orders!$D244,products!$A$1:$A$49,0),MATCH(orders!K$1,products!$A$1:$G$1,0))</f>
        <v>1</v>
      </c>
      <c r="L244" s="7">
        <f>INDEX(products!$A$1:$G$49,MATCH(orders!$D244,products!$A$1:$A$49,0),MATCH(orders!L$1,products!$A$1:$G$1,0))</f>
        <v>12.15</v>
      </c>
      <c r="M244" s="7">
        <f t="shared" si="9"/>
        <v>36.450000000000003</v>
      </c>
      <c r="N244" t="str">
        <f t="shared" si="10"/>
        <v>Excelsa</v>
      </c>
      <c r="O244" t="str">
        <f t="shared" si="11"/>
        <v>Dark</v>
      </c>
      <c r="P244" t="str">
        <f>_xlfn.XLOOKUP(Table1[[#This Row],[Customer ID]],customers!$A$1:$A$1001,customers!$I$1:$I$1001,,0)</f>
        <v>Yes</v>
      </c>
    </row>
    <row r="245" spans="1:16" x14ac:dyDescent="0.2">
      <c r="A245" s="2" t="s">
        <v>1860</v>
      </c>
      <c r="B245" s="3">
        <v>44114</v>
      </c>
      <c r="C245" s="2" t="s">
        <v>1861</v>
      </c>
      <c r="D245" t="s">
        <v>6144</v>
      </c>
      <c r="E245" s="2">
        <v>4</v>
      </c>
      <c r="F245" s="2" t="str">
        <f>_xlfn.XLOOKUP(C245,customers!$A244:$A1244,customers!$B244:$B1244,,0)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5">
        <f>INDEX(products!$A$1:$G$49,MATCH(orders!$D245,products!$A$1:$A$49,0),MATCH(orders!K$1,products!$A$1:$G$1,0))</f>
        <v>0.5</v>
      </c>
      <c r="L245" s="7">
        <f>INDEX(products!$A$1:$G$49,MATCH(orders!$D245,products!$A$1:$A$49,0),MATCH(orders!L$1,products!$A$1:$G$1,0))</f>
        <v>7.29</v>
      </c>
      <c r="M245" s="7">
        <f t="shared" si="9"/>
        <v>29.16</v>
      </c>
      <c r="N245" t="str">
        <f t="shared" si="10"/>
        <v>Excelsa</v>
      </c>
      <c r="O245" t="str">
        <f t="shared" si="11"/>
        <v>Dark</v>
      </c>
      <c r="P245" t="str">
        <f>_xlfn.XLOOKUP(Table1[[#This Row],[Customer ID]],customers!$A$1:$A$1001,customers!$I$1:$I$1001,,0)</f>
        <v>Yes</v>
      </c>
    </row>
    <row r="246" spans="1:16" x14ac:dyDescent="0.2">
      <c r="A246" s="2" t="s">
        <v>1866</v>
      </c>
      <c r="B246" s="3">
        <v>44702</v>
      </c>
      <c r="C246" s="2" t="s">
        <v>1867</v>
      </c>
      <c r="D246" t="s">
        <v>6181</v>
      </c>
      <c r="E246" s="2">
        <v>4</v>
      </c>
      <c r="F246" s="2" t="str">
        <f>_xlfn.XLOOKUP(C246,customers!$A245:$A1245,customers!$B245:$B1245,,0)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5">
        <f>INDEX(products!$A$1:$G$49,MATCH(orders!$D246,products!$A$1:$A$49,0),MATCH(orders!K$1,products!$A$1:$G$1,0))</f>
        <v>2.5</v>
      </c>
      <c r="L246" s="7">
        <f>INDEX(products!$A$1:$G$49,MATCH(orders!$D246,products!$A$1:$A$49,0),MATCH(orders!L$1,products!$A$1:$G$1,0))</f>
        <v>33.464999999999996</v>
      </c>
      <c r="M246" s="7">
        <f t="shared" si="9"/>
        <v>133.85999999999999</v>
      </c>
      <c r="N246" t="str">
        <f t="shared" si="10"/>
        <v>Liberica</v>
      </c>
      <c r="O246" t="str">
        <f t="shared" si="11"/>
        <v>Medium</v>
      </c>
      <c r="P246" t="str">
        <f>_xlfn.XLOOKUP(Table1[[#This Row],[Customer ID]],customers!$A$1:$A$1001,customers!$I$1:$I$1001,,0)</f>
        <v>No</v>
      </c>
    </row>
    <row r="247" spans="1:16" x14ac:dyDescent="0.2">
      <c r="A247" s="2" t="s">
        <v>1872</v>
      </c>
      <c r="B247" s="3">
        <v>43951</v>
      </c>
      <c r="C247" s="2" t="s">
        <v>1873</v>
      </c>
      <c r="D247" t="s">
        <v>6145</v>
      </c>
      <c r="E247" s="2">
        <v>5</v>
      </c>
      <c r="F247" s="2" t="str">
        <f>_xlfn.XLOOKUP(C247,customers!$A246:$A1246,customers!$B246:$B1246,,0)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5">
        <f>INDEX(products!$A$1:$G$49,MATCH(orders!$D247,products!$A$1:$A$49,0),MATCH(orders!K$1,products!$A$1:$G$1,0))</f>
        <v>0.2</v>
      </c>
      <c r="L247" s="7">
        <f>INDEX(products!$A$1:$G$49,MATCH(orders!$D247,products!$A$1:$A$49,0),MATCH(orders!L$1,products!$A$1:$G$1,0))</f>
        <v>4.7549999999999999</v>
      </c>
      <c r="M247" s="7">
        <f t="shared" si="9"/>
        <v>23.774999999999999</v>
      </c>
      <c r="N247" t="str">
        <f t="shared" si="10"/>
        <v>Liberica</v>
      </c>
      <c r="O247" t="str">
        <f t="shared" si="11"/>
        <v>Light</v>
      </c>
      <c r="P247" t="str">
        <f>_xlfn.XLOOKUP(Table1[[#This Row],[Customer ID]],customers!$A$1:$A$1001,customers!$I$1:$I$1001,,0)</f>
        <v>Yes</v>
      </c>
    </row>
    <row r="248" spans="1:16" x14ac:dyDescent="0.2">
      <c r="A248" s="2" t="s">
        <v>1878</v>
      </c>
      <c r="B248" s="3">
        <v>44542</v>
      </c>
      <c r="C248" s="2" t="s">
        <v>1879</v>
      </c>
      <c r="D248" t="s">
        <v>6143</v>
      </c>
      <c r="E248" s="2">
        <v>3</v>
      </c>
      <c r="F248" s="2" t="str">
        <f>_xlfn.XLOOKUP(C248,customers!$A247:$A1247,customers!$B247:$B1247,,0)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5">
        <f>INDEX(products!$A$1:$G$49,MATCH(orders!$D248,products!$A$1:$A$49,0),MATCH(orders!K$1,products!$A$1:$G$1,0))</f>
        <v>1</v>
      </c>
      <c r="L248" s="7">
        <f>INDEX(products!$A$1:$G$49,MATCH(orders!$D248,products!$A$1:$A$49,0),MATCH(orders!L$1,products!$A$1:$G$1,0))</f>
        <v>12.95</v>
      </c>
      <c r="M248" s="7">
        <f t="shared" si="9"/>
        <v>38.849999999999994</v>
      </c>
      <c r="N248" t="str">
        <f t="shared" si="10"/>
        <v>Liberica</v>
      </c>
      <c r="O248" t="str">
        <f t="shared" si="11"/>
        <v>Dark</v>
      </c>
      <c r="P248" t="str">
        <f>_xlfn.XLOOKUP(Table1[[#This Row],[Customer ID]],customers!$A$1:$A$1001,customers!$I$1:$I$1001,,0)</f>
        <v>No</v>
      </c>
    </row>
    <row r="249" spans="1:16" x14ac:dyDescent="0.2">
      <c r="A249" s="2" t="s">
        <v>1884</v>
      </c>
      <c r="B249" s="3">
        <v>44131</v>
      </c>
      <c r="C249" s="2" t="s">
        <v>1885</v>
      </c>
      <c r="D249" t="s">
        <v>6178</v>
      </c>
      <c r="E249" s="2">
        <v>6</v>
      </c>
      <c r="F249" s="2" t="str">
        <f>_xlfn.XLOOKUP(C249,customers!$A248:$A1248,customers!$B248:$B1248,,0)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5">
        <f>INDEX(products!$A$1:$G$49,MATCH(orders!$D249,products!$A$1:$A$49,0),MATCH(orders!K$1,products!$A$1:$G$1,0))</f>
        <v>0.2</v>
      </c>
      <c r="L249" s="7">
        <f>INDEX(products!$A$1:$G$49,MATCH(orders!$D249,products!$A$1:$A$49,0),MATCH(orders!L$1,products!$A$1:$G$1,0))</f>
        <v>3.5849999999999995</v>
      </c>
      <c r="M249" s="7">
        <f t="shared" si="9"/>
        <v>21.509999999999998</v>
      </c>
      <c r="N249" t="str">
        <f t="shared" si="10"/>
        <v>Robusta</v>
      </c>
      <c r="O249" t="str">
        <f t="shared" si="11"/>
        <v>Light</v>
      </c>
      <c r="P249" t="str">
        <f>_xlfn.XLOOKUP(Table1[[#This Row],[Customer ID]],customers!$A$1:$A$1001,customers!$I$1:$I$1001,,0)</f>
        <v>Yes</v>
      </c>
    </row>
    <row r="250" spans="1:16" x14ac:dyDescent="0.2">
      <c r="A250" s="2" t="s">
        <v>1889</v>
      </c>
      <c r="B250" s="3">
        <v>44019</v>
      </c>
      <c r="C250" s="2" t="s">
        <v>1890</v>
      </c>
      <c r="D250" t="s">
        <v>6147</v>
      </c>
      <c r="E250" s="2">
        <v>1</v>
      </c>
      <c r="F250" s="2" t="str">
        <f>_xlfn.XLOOKUP(C250,customers!$A249:$A1249,customers!$B249:$B1249,,0)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5">
        <f>INDEX(products!$A$1:$G$49,MATCH(orders!$D250,products!$A$1:$A$49,0),MATCH(orders!K$1,products!$A$1:$G$1,0))</f>
        <v>1</v>
      </c>
      <c r="L250" s="7">
        <f>INDEX(products!$A$1:$G$49,MATCH(orders!$D250,products!$A$1:$A$49,0),MATCH(orders!L$1,products!$A$1:$G$1,0))</f>
        <v>9.9499999999999993</v>
      </c>
      <c r="M250" s="7">
        <f t="shared" si="9"/>
        <v>9.9499999999999993</v>
      </c>
      <c r="N250" t="str">
        <f t="shared" si="10"/>
        <v>Arabica</v>
      </c>
      <c r="O250" t="str">
        <f t="shared" si="11"/>
        <v>Dark</v>
      </c>
      <c r="P250" t="str">
        <f>_xlfn.XLOOKUP(Table1[[#This Row],[Customer ID]],customers!$A$1:$A$1001,customers!$I$1:$I$1001,,0)</f>
        <v>Yes</v>
      </c>
    </row>
    <row r="251" spans="1:16" x14ac:dyDescent="0.2">
      <c r="A251" s="2" t="s">
        <v>1895</v>
      </c>
      <c r="B251" s="3">
        <v>43861</v>
      </c>
      <c r="C251" s="2" t="s">
        <v>1935</v>
      </c>
      <c r="D251" t="s">
        <v>6170</v>
      </c>
      <c r="E251" s="2">
        <v>1</v>
      </c>
      <c r="F251" s="2" t="str">
        <f>_xlfn.XLOOKUP(C251,customers!$A250:$A1250,customers!$B250:$B1250,,0)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5">
        <f>INDEX(products!$A$1:$G$49,MATCH(orders!$D251,products!$A$1:$A$49,0),MATCH(orders!K$1,products!$A$1:$G$1,0))</f>
        <v>1</v>
      </c>
      <c r="L251" s="7">
        <f>INDEX(products!$A$1:$G$49,MATCH(orders!$D251,products!$A$1:$A$49,0),MATCH(orders!L$1,products!$A$1:$G$1,0))</f>
        <v>15.85</v>
      </c>
      <c r="M251" s="7">
        <f t="shared" si="9"/>
        <v>15.85</v>
      </c>
      <c r="N251" t="str">
        <f t="shared" si="10"/>
        <v>Liberica</v>
      </c>
      <c r="O251" t="str">
        <f t="shared" si="11"/>
        <v>Light</v>
      </c>
      <c r="P251" t="str">
        <f>_xlfn.XLOOKUP(Table1[[#This Row],[Customer ID]],customers!$A$1:$A$1001,customers!$I$1:$I$1001,,0)</f>
        <v>Yes</v>
      </c>
    </row>
    <row r="252" spans="1:16" x14ac:dyDescent="0.2">
      <c r="A252" s="2" t="s">
        <v>1900</v>
      </c>
      <c r="B252" s="3">
        <v>43879</v>
      </c>
      <c r="C252" s="2" t="s">
        <v>1901</v>
      </c>
      <c r="D252" t="s">
        <v>6174</v>
      </c>
      <c r="E252" s="2">
        <v>1</v>
      </c>
      <c r="F252" s="2" t="str">
        <f>_xlfn.XLOOKUP(C252,customers!$A251:$A1251,customers!$B251:$B1251,,0)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5">
        <f>INDEX(products!$A$1:$G$49,MATCH(orders!$D252,products!$A$1:$A$49,0),MATCH(orders!K$1,products!$A$1:$G$1,0))</f>
        <v>0.2</v>
      </c>
      <c r="L252" s="7">
        <f>INDEX(products!$A$1:$G$49,MATCH(orders!$D252,products!$A$1:$A$49,0),MATCH(orders!L$1,products!$A$1:$G$1,0))</f>
        <v>2.9849999999999999</v>
      </c>
      <c r="M252" s="7">
        <f t="shared" si="9"/>
        <v>2.9849999999999999</v>
      </c>
      <c r="N252" t="str">
        <f t="shared" si="10"/>
        <v>Robusta</v>
      </c>
      <c r="O252" t="str">
        <f t="shared" si="11"/>
        <v>Medium</v>
      </c>
      <c r="P252" t="str">
        <f>_xlfn.XLOOKUP(Table1[[#This Row],[Customer ID]],customers!$A$1:$A$1001,customers!$I$1:$I$1001,,0)</f>
        <v>Yes</v>
      </c>
    </row>
    <row r="253" spans="1:16" x14ac:dyDescent="0.2">
      <c r="A253" s="2" t="s">
        <v>1906</v>
      </c>
      <c r="B253" s="3">
        <v>44360</v>
      </c>
      <c r="C253" s="2" t="s">
        <v>1907</v>
      </c>
      <c r="D253" t="s">
        <v>6141</v>
      </c>
      <c r="E253" s="2">
        <v>5</v>
      </c>
      <c r="F253" s="2" t="str">
        <f>_xlfn.XLOOKUP(C253,customers!$A252:$A1252,customers!$B252:$B1252,,0)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5">
        <f>INDEX(products!$A$1:$G$49,MATCH(orders!$D253,products!$A$1:$A$49,0),MATCH(orders!K$1,products!$A$1:$G$1,0))</f>
        <v>1</v>
      </c>
      <c r="L253" s="7">
        <f>INDEX(products!$A$1:$G$49,MATCH(orders!$D253,products!$A$1:$A$49,0),MATCH(orders!L$1,products!$A$1:$G$1,0))</f>
        <v>13.75</v>
      </c>
      <c r="M253" s="7">
        <f t="shared" si="9"/>
        <v>68.75</v>
      </c>
      <c r="N253" t="str">
        <f t="shared" si="10"/>
        <v>Excelsa</v>
      </c>
      <c r="O253" t="str">
        <f t="shared" si="11"/>
        <v>Medium</v>
      </c>
      <c r="P253" t="str">
        <f>_xlfn.XLOOKUP(Table1[[#This Row],[Customer ID]],customers!$A$1:$A$1001,customers!$I$1:$I$1001,,0)</f>
        <v>Yes</v>
      </c>
    </row>
    <row r="254" spans="1:16" x14ac:dyDescent="0.2">
      <c r="A254" s="2" t="s">
        <v>1912</v>
      </c>
      <c r="B254" s="3">
        <v>44779</v>
      </c>
      <c r="C254" s="2" t="s">
        <v>1913</v>
      </c>
      <c r="D254" t="s">
        <v>6147</v>
      </c>
      <c r="E254" s="2">
        <v>3</v>
      </c>
      <c r="F254" s="2" t="str">
        <f>_xlfn.XLOOKUP(C254,customers!$A253:$A1253,customers!$B253:$B1253,,0)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5">
        <f>INDEX(products!$A$1:$G$49,MATCH(orders!$D254,products!$A$1:$A$49,0),MATCH(orders!K$1,products!$A$1:$G$1,0))</f>
        <v>1</v>
      </c>
      <c r="L254" s="7">
        <f>INDEX(products!$A$1:$G$49,MATCH(orders!$D254,products!$A$1:$A$49,0),MATCH(orders!L$1,products!$A$1:$G$1,0))</f>
        <v>9.9499999999999993</v>
      </c>
      <c r="M254" s="7">
        <f t="shared" si="9"/>
        <v>29.849999999999998</v>
      </c>
      <c r="N254" t="str">
        <f t="shared" si="10"/>
        <v>Arabica</v>
      </c>
      <c r="O254" t="str">
        <f t="shared" si="11"/>
        <v>Dark</v>
      </c>
      <c r="P254" t="str">
        <f>_xlfn.XLOOKUP(Table1[[#This Row],[Customer ID]],customers!$A$1:$A$1001,customers!$I$1:$I$1001,,0)</f>
        <v>No</v>
      </c>
    </row>
    <row r="255" spans="1:16" x14ac:dyDescent="0.2">
      <c r="A255" s="2" t="s">
        <v>1917</v>
      </c>
      <c r="B255" s="3">
        <v>44523</v>
      </c>
      <c r="C255" s="2" t="s">
        <v>1918</v>
      </c>
      <c r="D255" t="s">
        <v>6162</v>
      </c>
      <c r="E255" s="2">
        <v>4</v>
      </c>
      <c r="F255" s="2" t="str">
        <f>_xlfn.XLOOKUP(C255,customers!$A254:$A1254,customers!$B254:$B1254,,0)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5">
        <f>INDEX(products!$A$1:$G$49,MATCH(orders!$D255,products!$A$1:$A$49,0),MATCH(orders!K$1,products!$A$1:$G$1,0))</f>
        <v>1</v>
      </c>
      <c r="L255" s="7">
        <f>INDEX(products!$A$1:$G$49,MATCH(orders!$D255,products!$A$1:$A$49,0),MATCH(orders!L$1,products!$A$1:$G$1,0))</f>
        <v>14.55</v>
      </c>
      <c r="M255" s="7">
        <f t="shared" si="9"/>
        <v>58.2</v>
      </c>
      <c r="N255" t="str">
        <f t="shared" si="10"/>
        <v>Liberica</v>
      </c>
      <c r="O255" t="str">
        <f t="shared" si="11"/>
        <v>Medium</v>
      </c>
      <c r="P255" t="str">
        <f>_xlfn.XLOOKUP(Table1[[#This Row],[Customer ID]],customers!$A$1:$A$1001,customers!$I$1:$I$1001,,0)</f>
        <v>No</v>
      </c>
    </row>
    <row r="256" spans="1:16" x14ac:dyDescent="0.2">
      <c r="A256" s="2" t="s">
        <v>1923</v>
      </c>
      <c r="B256" s="3">
        <v>44482</v>
      </c>
      <c r="C256" s="2" t="s">
        <v>1924</v>
      </c>
      <c r="D256" t="s">
        <v>6173</v>
      </c>
      <c r="E256" s="2">
        <v>4</v>
      </c>
      <c r="F256" s="2" t="str">
        <f>_xlfn.XLOOKUP(C256,customers!$A255:$A1255,customers!$B255:$B1255,,0)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5">
        <f>INDEX(products!$A$1:$G$49,MATCH(orders!$D256,products!$A$1:$A$49,0),MATCH(orders!K$1,products!$A$1:$G$1,0))</f>
        <v>0.5</v>
      </c>
      <c r="L256" s="7">
        <f>INDEX(products!$A$1:$G$49,MATCH(orders!$D256,products!$A$1:$A$49,0),MATCH(orders!L$1,products!$A$1:$G$1,0))</f>
        <v>7.169999999999999</v>
      </c>
      <c r="M256" s="7">
        <f t="shared" si="9"/>
        <v>28.679999999999996</v>
      </c>
      <c r="N256" t="str">
        <f t="shared" si="10"/>
        <v>Robusta</v>
      </c>
      <c r="O256" t="str">
        <f t="shared" si="11"/>
        <v>Light</v>
      </c>
      <c r="P256" t="str">
        <f>_xlfn.XLOOKUP(Table1[[#This Row],[Customer ID]],customers!$A$1:$A$1001,customers!$I$1:$I$1001,,0)</f>
        <v>No</v>
      </c>
    </row>
    <row r="257" spans="1:16" x14ac:dyDescent="0.2">
      <c r="A257" s="2" t="s">
        <v>1928</v>
      </c>
      <c r="B257" s="3">
        <v>44439</v>
      </c>
      <c r="C257" s="2" t="s">
        <v>1929</v>
      </c>
      <c r="D257" t="s">
        <v>6173</v>
      </c>
      <c r="E257" s="2">
        <v>3</v>
      </c>
      <c r="F257" s="2" t="str">
        <f>_xlfn.XLOOKUP(C257,customers!$A256:$A1256,customers!$B256:$B1256,,0)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5">
        <f>INDEX(products!$A$1:$G$49,MATCH(orders!$D257,products!$A$1:$A$49,0),MATCH(orders!K$1,products!$A$1:$G$1,0))</f>
        <v>0.5</v>
      </c>
      <c r="L257" s="7">
        <f>INDEX(products!$A$1:$G$49,MATCH(orders!$D257,products!$A$1:$A$49,0),MATCH(orders!L$1,products!$A$1:$G$1,0))</f>
        <v>7.169999999999999</v>
      </c>
      <c r="M257" s="7">
        <f t="shared" si="9"/>
        <v>21.509999999999998</v>
      </c>
      <c r="N257" t="str">
        <f t="shared" si="10"/>
        <v>Robusta</v>
      </c>
      <c r="O257" t="str">
        <f t="shared" si="11"/>
        <v>Light</v>
      </c>
      <c r="P257" t="str">
        <f>_xlfn.XLOOKUP(Table1[[#This Row],[Customer ID]],customers!$A$1:$A$1001,customers!$I$1:$I$1001,,0)</f>
        <v>No</v>
      </c>
    </row>
    <row r="258" spans="1:16" x14ac:dyDescent="0.2">
      <c r="A258" s="2" t="s">
        <v>1934</v>
      </c>
      <c r="B258" s="3">
        <v>43846</v>
      </c>
      <c r="C258" s="2" t="s">
        <v>1935</v>
      </c>
      <c r="D258" t="s">
        <v>6160</v>
      </c>
      <c r="E258" s="2">
        <v>2</v>
      </c>
      <c r="F258" s="2" t="str">
        <f>_xlfn.XLOOKUP(C258,customers!$A257:$A1257,customers!$B257:$B1257,,0)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5">
        <f>INDEX(products!$A$1:$G$49,MATCH(orders!$D258,products!$A$1:$A$49,0),MATCH(orders!K$1,products!$A$1:$G$1,0))</f>
        <v>0.5</v>
      </c>
      <c r="L258" s="7">
        <f>INDEX(products!$A$1:$G$49,MATCH(orders!$D258,products!$A$1:$A$49,0),MATCH(orders!L$1,products!$A$1:$G$1,0))</f>
        <v>8.73</v>
      </c>
      <c r="M258" s="7">
        <f t="shared" si="9"/>
        <v>17.46</v>
      </c>
      <c r="N258" t="str">
        <f t="shared" si="10"/>
        <v>Liberica</v>
      </c>
      <c r="O258" t="str">
        <f t="shared" si="11"/>
        <v>Medium</v>
      </c>
      <c r="P258" t="str">
        <f>_xlfn.XLOOKUP(Table1[[#This Row],[Customer ID]],customers!$A$1:$A$1001,customers!$I$1:$I$1001,,0)</f>
        <v>Yes</v>
      </c>
    </row>
    <row r="259" spans="1:16" x14ac:dyDescent="0.2">
      <c r="A259" s="2" t="s">
        <v>1940</v>
      </c>
      <c r="B259" s="3">
        <v>44676</v>
      </c>
      <c r="C259" s="2" t="s">
        <v>1941</v>
      </c>
      <c r="D259" t="s">
        <v>6185</v>
      </c>
      <c r="E259" s="2">
        <v>1</v>
      </c>
      <c r="F259" s="2" t="str">
        <f>_xlfn.XLOOKUP(C259,customers!$A258:$A1258,customers!$B258:$B1258,,0)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5">
        <f>INDEX(products!$A$1:$G$49,MATCH(orders!$D259,products!$A$1:$A$49,0),MATCH(orders!K$1,products!$A$1:$G$1,0))</f>
        <v>2.5</v>
      </c>
      <c r="L259" s="7">
        <f>INDEX(products!$A$1:$G$49,MATCH(orders!$D259,products!$A$1:$A$49,0),MATCH(orders!L$1,products!$A$1:$G$1,0))</f>
        <v>27.945</v>
      </c>
      <c r="M259" s="7">
        <f t="shared" ref="M259:M322" si="12">L259*E259</f>
        <v>27.945</v>
      </c>
      <c r="N259" t="str">
        <f t="shared" ref="N259:N322" si="13">IF(I259="Rob","Robusta",IF(I259="Ara","Arabica",IF(I259="Exc","Excelsa",IF(I259="Lib","Liberica",""))))</f>
        <v>Excelsa</v>
      </c>
      <c r="O259" t="str">
        <f t="shared" ref="O259:O322" si="14">IF(J259="M","Medium",IF(J259="L","Light",IF(J259="D","Dark","")))</f>
        <v>Dark</v>
      </c>
      <c r="P259" t="str">
        <f>_xlfn.XLOOKUP(Table1[[#This Row],[Customer ID]],customers!$A$1:$A$1001,customers!$I$1:$I$1001,,0)</f>
        <v>Yes</v>
      </c>
    </row>
    <row r="260" spans="1:16" x14ac:dyDescent="0.2">
      <c r="A260" s="2" t="s">
        <v>1946</v>
      </c>
      <c r="B260" s="3">
        <v>44513</v>
      </c>
      <c r="C260" s="2" t="s">
        <v>1947</v>
      </c>
      <c r="D260" t="s">
        <v>6185</v>
      </c>
      <c r="E260" s="2">
        <v>5</v>
      </c>
      <c r="F260" s="2" t="str">
        <f>_xlfn.XLOOKUP(C260,customers!$A259:$A1259,customers!$B259:$B1259,,0)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5">
        <f>INDEX(products!$A$1:$G$49,MATCH(orders!$D260,products!$A$1:$A$49,0),MATCH(orders!K$1,products!$A$1:$G$1,0))</f>
        <v>2.5</v>
      </c>
      <c r="L260" s="7">
        <f>INDEX(products!$A$1:$G$49,MATCH(orders!$D260,products!$A$1:$A$49,0),MATCH(orders!L$1,products!$A$1:$G$1,0))</f>
        <v>27.945</v>
      </c>
      <c r="M260" s="7">
        <f t="shared" si="12"/>
        <v>139.72499999999999</v>
      </c>
      <c r="N260" t="str">
        <f t="shared" si="13"/>
        <v>Excelsa</v>
      </c>
      <c r="O260" t="str">
        <f t="shared" si="14"/>
        <v>Dark</v>
      </c>
      <c r="P260" t="str">
        <f>_xlfn.XLOOKUP(Table1[[#This Row],[Customer ID]],customers!$A$1:$A$1001,customers!$I$1:$I$1001,,0)</f>
        <v>No</v>
      </c>
    </row>
    <row r="261" spans="1:16" x14ac:dyDescent="0.2">
      <c r="A261" s="2" t="s">
        <v>1952</v>
      </c>
      <c r="B261" s="3">
        <v>44355</v>
      </c>
      <c r="C261" s="2" t="s">
        <v>1953</v>
      </c>
      <c r="D261" t="s">
        <v>6174</v>
      </c>
      <c r="E261" s="2">
        <v>2</v>
      </c>
      <c r="F261" s="2" t="str">
        <f>_xlfn.XLOOKUP(C261,customers!$A260:$A1260,customers!$B260:$B1260,,0)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5">
        <f>INDEX(products!$A$1:$G$49,MATCH(orders!$D261,products!$A$1:$A$49,0),MATCH(orders!K$1,products!$A$1:$G$1,0))</f>
        <v>0.2</v>
      </c>
      <c r="L261" s="7">
        <f>INDEX(products!$A$1:$G$49,MATCH(orders!$D261,products!$A$1:$A$49,0),MATCH(orders!L$1,products!$A$1:$G$1,0))</f>
        <v>2.9849999999999999</v>
      </c>
      <c r="M261" s="7">
        <f t="shared" si="12"/>
        <v>5.97</v>
      </c>
      <c r="N261" t="str">
        <f t="shared" si="13"/>
        <v>Robusta</v>
      </c>
      <c r="O261" t="str">
        <f t="shared" si="14"/>
        <v>Medium</v>
      </c>
      <c r="P261" t="str">
        <f>_xlfn.XLOOKUP(Table1[[#This Row],[Customer ID]],customers!$A$1:$A$1001,customers!$I$1:$I$1001,,0)</f>
        <v>No</v>
      </c>
    </row>
    <row r="262" spans="1:16" x14ac:dyDescent="0.2">
      <c r="A262" s="2" t="s">
        <v>1958</v>
      </c>
      <c r="B262" s="3">
        <v>44156</v>
      </c>
      <c r="C262" s="2" t="s">
        <v>1959</v>
      </c>
      <c r="D262" t="s">
        <v>6142</v>
      </c>
      <c r="E262" s="2">
        <v>1</v>
      </c>
      <c r="F262" s="2" t="str">
        <f>_xlfn.XLOOKUP(C262,customers!$A261:$A1261,customers!$B261:$B1261,,0)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5">
        <f>INDEX(products!$A$1:$G$49,MATCH(orders!$D262,products!$A$1:$A$49,0),MATCH(orders!K$1,products!$A$1:$G$1,0))</f>
        <v>2.5</v>
      </c>
      <c r="L262" s="7">
        <f>INDEX(products!$A$1:$G$49,MATCH(orders!$D262,products!$A$1:$A$49,0),MATCH(orders!L$1,products!$A$1:$G$1,0))</f>
        <v>27.484999999999996</v>
      </c>
      <c r="M262" s="7">
        <f t="shared" si="12"/>
        <v>27.484999999999996</v>
      </c>
      <c r="N262" t="str">
        <f t="shared" si="13"/>
        <v>Robusta</v>
      </c>
      <c r="O262" t="str">
        <f t="shared" si="14"/>
        <v>Light</v>
      </c>
      <c r="P262" t="str">
        <f>_xlfn.XLOOKUP(Table1[[#This Row],[Customer ID]],customers!$A$1:$A$1001,customers!$I$1:$I$1001,,0)</f>
        <v>Yes</v>
      </c>
    </row>
    <row r="263" spans="1:16" x14ac:dyDescent="0.2">
      <c r="A263" s="2" t="s">
        <v>1963</v>
      </c>
      <c r="B263" s="3">
        <v>43538</v>
      </c>
      <c r="C263" s="2" t="s">
        <v>1964</v>
      </c>
      <c r="D263" t="s">
        <v>6179</v>
      </c>
      <c r="E263" s="2">
        <v>5</v>
      </c>
      <c r="F263" s="2" t="str">
        <f>_xlfn.XLOOKUP(C263,customers!$A262:$A1262,customers!$B262:$B1262,,0)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5">
        <f>INDEX(products!$A$1:$G$49,MATCH(orders!$D263,products!$A$1:$A$49,0),MATCH(orders!K$1,products!$A$1:$G$1,0))</f>
        <v>1</v>
      </c>
      <c r="L263" s="7">
        <f>INDEX(products!$A$1:$G$49,MATCH(orders!$D263,products!$A$1:$A$49,0),MATCH(orders!L$1,products!$A$1:$G$1,0))</f>
        <v>11.95</v>
      </c>
      <c r="M263" s="7">
        <f t="shared" si="12"/>
        <v>59.75</v>
      </c>
      <c r="N263" t="str">
        <f t="shared" si="13"/>
        <v>Robusta</v>
      </c>
      <c r="O263" t="str">
        <f t="shared" si="14"/>
        <v>Light</v>
      </c>
      <c r="P263" t="str">
        <f>_xlfn.XLOOKUP(Table1[[#This Row],[Customer ID]],customers!$A$1:$A$1001,customers!$I$1:$I$1001,,0)</f>
        <v>Yes</v>
      </c>
    </row>
    <row r="264" spans="1:16" x14ac:dyDescent="0.2">
      <c r="A264" s="2" t="s">
        <v>1969</v>
      </c>
      <c r="B264" s="3">
        <v>43693</v>
      </c>
      <c r="C264" s="2" t="s">
        <v>1970</v>
      </c>
      <c r="D264" t="s">
        <v>6141</v>
      </c>
      <c r="E264" s="2">
        <v>3</v>
      </c>
      <c r="F264" s="2" t="str">
        <f>_xlfn.XLOOKUP(C264,customers!$A263:$A1263,customers!$B263:$B1263,,0)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5">
        <f>INDEX(products!$A$1:$G$49,MATCH(orders!$D264,products!$A$1:$A$49,0),MATCH(orders!K$1,products!$A$1:$G$1,0))</f>
        <v>1</v>
      </c>
      <c r="L264" s="7">
        <f>INDEX(products!$A$1:$G$49,MATCH(orders!$D264,products!$A$1:$A$49,0),MATCH(orders!L$1,products!$A$1:$G$1,0))</f>
        <v>13.75</v>
      </c>
      <c r="M264" s="7">
        <f t="shared" si="12"/>
        <v>41.25</v>
      </c>
      <c r="N264" t="str">
        <f t="shared" si="13"/>
        <v>Excelsa</v>
      </c>
      <c r="O264" t="str">
        <f t="shared" si="14"/>
        <v>Medium</v>
      </c>
      <c r="P264" t="str">
        <f>_xlfn.XLOOKUP(Table1[[#This Row],[Customer ID]],customers!$A$1:$A$1001,customers!$I$1:$I$1001,,0)</f>
        <v>No</v>
      </c>
    </row>
    <row r="265" spans="1:16" x14ac:dyDescent="0.2">
      <c r="A265" s="2" t="s">
        <v>1975</v>
      </c>
      <c r="B265" s="3">
        <v>43577</v>
      </c>
      <c r="C265" s="2" t="s">
        <v>1976</v>
      </c>
      <c r="D265" t="s">
        <v>6181</v>
      </c>
      <c r="E265" s="2">
        <v>4</v>
      </c>
      <c r="F265" s="2" t="str">
        <f>_xlfn.XLOOKUP(C265,customers!$A264:$A1264,customers!$B264:$B1264,,0)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5">
        <f>INDEX(products!$A$1:$G$49,MATCH(orders!$D265,products!$A$1:$A$49,0),MATCH(orders!K$1,products!$A$1:$G$1,0))</f>
        <v>2.5</v>
      </c>
      <c r="L265" s="7">
        <f>INDEX(products!$A$1:$G$49,MATCH(orders!$D265,products!$A$1:$A$49,0),MATCH(orders!L$1,products!$A$1:$G$1,0))</f>
        <v>33.464999999999996</v>
      </c>
      <c r="M265" s="7">
        <f t="shared" si="12"/>
        <v>133.85999999999999</v>
      </c>
      <c r="N265" t="str">
        <f t="shared" si="13"/>
        <v>Liberica</v>
      </c>
      <c r="O265" t="str">
        <f t="shared" si="14"/>
        <v>Medium</v>
      </c>
      <c r="P265" t="str">
        <f>_xlfn.XLOOKUP(Table1[[#This Row],[Customer ID]],customers!$A$1:$A$1001,customers!$I$1:$I$1001,,0)</f>
        <v>No</v>
      </c>
    </row>
    <row r="266" spans="1:16" x14ac:dyDescent="0.2">
      <c r="A266" s="2" t="s">
        <v>1980</v>
      </c>
      <c r="B266" s="3">
        <v>44683</v>
      </c>
      <c r="C266" s="2" t="s">
        <v>1981</v>
      </c>
      <c r="D266" t="s">
        <v>6179</v>
      </c>
      <c r="E266" s="2">
        <v>5</v>
      </c>
      <c r="F266" s="2" t="str">
        <f>_xlfn.XLOOKUP(C266,customers!$A265:$A1265,customers!$B265:$B1265,,0)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5">
        <f>INDEX(products!$A$1:$G$49,MATCH(orders!$D266,products!$A$1:$A$49,0),MATCH(orders!K$1,products!$A$1:$G$1,0))</f>
        <v>1</v>
      </c>
      <c r="L266" s="7">
        <f>INDEX(products!$A$1:$G$49,MATCH(orders!$D266,products!$A$1:$A$49,0),MATCH(orders!L$1,products!$A$1:$G$1,0))</f>
        <v>11.95</v>
      </c>
      <c r="M266" s="7">
        <f t="shared" si="12"/>
        <v>59.75</v>
      </c>
      <c r="N266" t="str">
        <f t="shared" si="13"/>
        <v>Robusta</v>
      </c>
      <c r="O266" t="str">
        <f t="shared" si="14"/>
        <v>Light</v>
      </c>
      <c r="P266" t="str">
        <f>_xlfn.XLOOKUP(Table1[[#This Row],[Customer ID]],customers!$A$1:$A$1001,customers!$I$1:$I$1001,,0)</f>
        <v>Yes</v>
      </c>
    </row>
    <row r="267" spans="1:16" x14ac:dyDescent="0.2">
      <c r="A267" s="2" t="s">
        <v>1986</v>
      </c>
      <c r="B267" s="3">
        <v>43872</v>
      </c>
      <c r="C267" s="2" t="s">
        <v>1987</v>
      </c>
      <c r="D267" t="s">
        <v>6158</v>
      </c>
      <c r="E267" s="2">
        <v>1</v>
      </c>
      <c r="F267" s="2" t="str">
        <f>_xlfn.XLOOKUP(C267,customers!$A266:$A1266,customers!$B266:$B1266,,0)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5">
        <f>INDEX(products!$A$1:$G$49,MATCH(orders!$D267,products!$A$1:$A$49,0),MATCH(orders!K$1,products!$A$1:$G$1,0))</f>
        <v>0.5</v>
      </c>
      <c r="L267" s="7">
        <f>INDEX(products!$A$1:$G$49,MATCH(orders!$D267,products!$A$1:$A$49,0),MATCH(orders!L$1,products!$A$1:$G$1,0))</f>
        <v>5.97</v>
      </c>
      <c r="M267" s="7">
        <f t="shared" si="12"/>
        <v>5.97</v>
      </c>
      <c r="N267" t="str">
        <f t="shared" si="13"/>
        <v>Arabica</v>
      </c>
      <c r="O267" t="str">
        <f t="shared" si="14"/>
        <v>Dark</v>
      </c>
      <c r="P267" t="str">
        <f>_xlfn.XLOOKUP(Table1[[#This Row],[Customer ID]],customers!$A$1:$A$1001,customers!$I$1:$I$1001,,0)</f>
        <v>Yes</v>
      </c>
    </row>
    <row r="268" spans="1:16" x14ac:dyDescent="0.2">
      <c r="A268" s="2" t="s">
        <v>1992</v>
      </c>
      <c r="B268" s="3">
        <v>44283</v>
      </c>
      <c r="C268" s="2" t="s">
        <v>1993</v>
      </c>
      <c r="D268" t="s">
        <v>6183</v>
      </c>
      <c r="E268" s="2">
        <v>2</v>
      </c>
      <c r="F268" s="2" t="str">
        <f>_xlfn.XLOOKUP(C268,customers!$A267:$A1267,customers!$B267:$B1267,,0)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5">
        <f>INDEX(products!$A$1:$G$49,MATCH(orders!$D268,products!$A$1:$A$49,0),MATCH(orders!K$1,products!$A$1:$G$1,0))</f>
        <v>1</v>
      </c>
      <c r="L268" s="7">
        <f>INDEX(products!$A$1:$G$49,MATCH(orders!$D268,products!$A$1:$A$49,0),MATCH(orders!L$1,products!$A$1:$G$1,0))</f>
        <v>12.15</v>
      </c>
      <c r="M268" s="7">
        <f t="shared" si="12"/>
        <v>24.3</v>
      </c>
      <c r="N268" t="str">
        <f t="shared" si="13"/>
        <v>Excelsa</v>
      </c>
      <c r="O268" t="str">
        <f t="shared" si="14"/>
        <v>Dark</v>
      </c>
      <c r="P268" t="str">
        <f>_xlfn.XLOOKUP(Table1[[#This Row],[Customer ID]],customers!$A$1:$A$1001,customers!$I$1:$I$1001,,0)</f>
        <v>No</v>
      </c>
    </row>
    <row r="269" spans="1:16" x14ac:dyDescent="0.2">
      <c r="A269" s="2" t="s">
        <v>1998</v>
      </c>
      <c r="B269" s="3">
        <v>44324</v>
      </c>
      <c r="C269" s="2" t="s">
        <v>1999</v>
      </c>
      <c r="D269" t="s">
        <v>6153</v>
      </c>
      <c r="E269" s="2">
        <v>6</v>
      </c>
      <c r="F269" s="2" t="str">
        <f>_xlfn.XLOOKUP(C269,customers!$A268:$A1268,customers!$B268:$B1268,,0)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5">
        <f>INDEX(products!$A$1:$G$49,MATCH(orders!$D269,products!$A$1:$A$49,0),MATCH(orders!K$1,products!$A$1:$G$1,0))</f>
        <v>0.2</v>
      </c>
      <c r="L269" s="7">
        <f>INDEX(products!$A$1:$G$49,MATCH(orders!$D269,products!$A$1:$A$49,0),MATCH(orders!L$1,products!$A$1:$G$1,0))</f>
        <v>3.645</v>
      </c>
      <c r="M269" s="7">
        <f t="shared" si="12"/>
        <v>21.87</v>
      </c>
      <c r="N269" t="str">
        <f t="shared" si="13"/>
        <v>Excelsa</v>
      </c>
      <c r="O269" t="str">
        <f t="shared" si="14"/>
        <v>Dark</v>
      </c>
      <c r="P269" t="str">
        <f>_xlfn.XLOOKUP(Table1[[#This Row],[Customer ID]],customers!$A$1:$A$1001,customers!$I$1:$I$1001,,0)</f>
        <v>Yes</v>
      </c>
    </row>
    <row r="270" spans="1:16" x14ac:dyDescent="0.2">
      <c r="A270" s="2" t="s">
        <v>2004</v>
      </c>
      <c r="B270" s="3">
        <v>43790</v>
      </c>
      <c r="C270" s="2" t="s">
        <v>1672</v>
      </c>
      <c r="D270" t="s">
        <v>6147</v>
      </c>
      <c r="E270" s="2">
        <v>2</v>
      </c>
      <c r="F270" s="2" t="e">
        <f>_xlfn.XLOOKUP(C270,customers!$A269:$A1269,customers!$B269:$B1269,,0)</f>
        <v>#N/A</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5">
        <f>INDEX(products!$A$1:$G$49,MATCH(orders!$D270,products!$A$1:$A$49,0),MATCH(orders!K$1,products!$A$1:$G$1,0))</f>
        <v>1</v>
      </c>
      <c r="L270" s="7">
        <f>INDEX(products!$A$1:$G$49,MATCH(orders!$D270,products!$A$1:$A$49,0),MATCH(orders!L$1,products!$A$1:$G$1,0))</f>
        <v>9.9499999999999993</v>
      </c>
      <c r="M270" s="7">
        <f t="shared" si="12"/>
        <v>19.899999999999999</v>
      </c>
      <c r="N270" t="str">
        <f t="shared" si="13"/>
        <v>Arabica</v>
      </c>
      <c r="O270" t="str">
        <f t="shared" si="14"/>
        <v>Dark</v>
      </c>
      <c r="P270" t="str">
        <f>_xlfn.XLOOKUP(Table1[[#This Row],[Customer ID]],customers!$A$1:$A$1001,customers!$I$1:$I$1001,,0)</f>
        <v>Yes</v>
      </c>
    </row>
    <row r="271" spans="1:16" x14ac:dyDescent="0.2">
      <c r="A271" s="2" t="s">
        <v>2009</v>
      </c>
      <c r="B271" s="3">
        <v>44333</v>
      </c>
      <c r="C271" s="2" t="s">
        <v>2010</v>
      </c>
      <c r="D271" t="s">
        <v>6154</v>
      </c>
      <c r="E271" s="2">
        <v>2</v>
      </c>
      <c r="F271" s="2" t="str">
        <f>_xlfn.XLOOKUP(C271,customers!$A270:$A1270,customers!$B270:$B1270,,0)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5">
        <f>INDEX(products!$A$1:$G$49,MATCH(orders!$D271,products!$A$1:$A$49,0),MATCH(orders!K$1,products!$A$1:$G$1,0))</f>
        <v>0.2</v>
      </c>
      <c r="L271" s="7">
        <f>INDEX(products!$A$1:$G$49,MATCH(orders!$D271,products!$A$1:$A$49,0),MATCH(orders!L$1,products!$A$1:$G$1,0))</f>
        <v>2.9849999999999999</v>
      </c>
      <c r="M271" s="7">
        <f t="shared" si="12"/>
        <v>5.97</v>
      </c>
      <c r="N271" t="str">
        <f t="shared" si="13"/>
        <v>Arabica</v>
      </c>
      <c r="O271" t="str">
        <f t="shared" si="14"/>
        <v>Dark</v>
      </c>
      <c r="P271" t="str">
        <f>_xlfn.XLOOKUP(Table1[[#This Row],[Customer ID]],customers!$A$1:$A$1001,customers!$I$1:$I$1001,,0)</f>
        <v>No</v>
      </c>
    </row>
    <row r="272" spans="1:16" x14ac:dyDescent="0.2">
      <c r="A272" s="2" t="s">
        <v>2015</v>
      </c>
      <c r="B272" s="3">
        <v>43655</v>
      </c>
      <c r="C272" s="2" t="s">
        <v>2016</v>
      </c>
      <c r="D272" t="s">
        <v>6144</v>
      </c>
      <c r="E272" s="2">
        <v>1</v>
      </c>
      <c r="F272" s="2" t="str">
        <f>_xlfn.XLOOKUP(C272,customers!$A271:$A1271,customers!$B271:$B1271,,0)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5">
        <f>INDEX(products!$A$1:$G$49,MATCH(orders!$D272,products!$A$1:$A$49,0),MATCH(orders!K$1,products!$A$1:$G$1,0))</f>
        <v>0.5</v>
      </c>
      <c r="L272" s="7">
        <f>INDEX(products!$A$1:$G$49,MATCH(orders!$D272,products!$A$1:$A$49,0),MATCH(orders!L$1,products!$A$1:$G$1,0))</f>
        <v>7.29</v>
      </c>
      <c r="M272" s="7">
        <f t="shared" si="12"/>
        <v>7.29</v>
      </c>
      <c r="N272" t="str">
        <f t="shared" si="13"/>
        <v>Excelsa</v>
      </c>
      <c r="O272" t="str">
        <f t="shared" si="14"/>
        <v>Dark</v>
      </c>
      <c r="P272" t="str">
        <f>_xlfn.XLOOKUP(Table1[[#This Row],[Customer ID]],customers!$A$1:$A$1001,customers!$I$1:$I$1001,,0)</f>
        <v>Yes</v>
      </c>
    </row>
    <row r="273" spans="1:16" x14ac:dyDescent="0.2">
      <c r="A273" s="2" t="s">
        <v>2019</v>
      </c>
      <c r="B273" s="3">
        <v>43971</v>
      </c>
      <c r="C273" s="2" t="s">
        <v>2020</v>
      </c>
      <c r="D273" t="s">
        <v>6154</v>
      </c>
      <c r="E273" s="2">
        <v>4</v>
      </c>
      <c r="F273" s="2" t="str">
        <f>_xlfn.XLOOKUP(C273,customers!$A272:$A1272,customers!$B272:$B1272,,0)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5">
        <f>INDEX(products!$A$1:$G$49,MATCH(orders!$D273,products!$A$1:$A$49,0),MATCH(orders!K$1,products!$A$1:$G$1,0))</f>
        <v>0.2</v>
      </c>
      <c r="L273" s="7">
        <f>INDEX(products!$A$1:$G$49,MATCH(orders!$D273,products!$A$1:$A$49,0),MATCH(orders!L$1,products!$A$1:$G$1,0))</f>
        <v>2.9849999999999999</v>
      </c>
      <c r="M273" s="7">
        <f t="shared" si="12"/>
        <v>11.94</v>
      </c>
      <c r="N273" t="str">
        <f t="shared" si="13"/>
        <v>Arabica</v>
      </c>
      <c r="O273" t="str">
        <f t="shared" si="14"/>
        <v>Dark</v>
      </c>
      <c r="P273" t="str">
        <f>_xlfn.XLOOKUP(Table1[[#This Row],[Customer ID]],customers!$A$1:$A$1001,customers!$I$1:$I$1001,,0)</f>
        <v>Yes</v>
      </c>
    </row>
    <row r="274" spans="1:16" x14ac:dyDescent="0.2">
      <c r="A274" s="2" t="s">
        <v>2025</v>
      </c>
      <c r="B274" s="3">
        <v>44435</v>
      </c>
      <c r="C274" s="2" t="s">
        <v>2026</v>
      </c>
      <c r="D274" t="s">
        <v>6179</v>
      </c>
      <c r="E274" s="2">
        <v>6</v>
      </c>
      <c r="F274" s="2" t="str">
        <f>_xlfn.XLOOKUP(C274,customers!$A273:$A1273,customers!$B273:$B1273,,0)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5">
        <f>INDEX(products!$A$1:$G$49,MATCH(orders!$D274,products!$A$1:$A$49,0),MATCH(orders!K$1,products!$A$1:$G$1,0))</f>
        <v>1</v>
      </c>
      <c r="L274" s="7">
        <f>INDEX(products!$A$1:$G$49,MATCH(orders!$D274,products!$A$1:$A$49,0),MATCH(orders!L$1,products!$A$1:$G$1,0))</f>
        <v>11.95</v>
      </c>
      <c r="M274" s="7">
        <f t="shared" si="12"/>
        <v>71.699999999999989</v>
      </c>
      <c r="N274" t="str">
        <f t="shared" si="13"/>
        <v>Robusta</v>
      </c>
      <c r="O274" t="str">
        <f t="shared" si="14"/>
        <v>Light</v>
      </c>
      <c r="P274" t="str">
        <f>_xlfn.XLOOKUP(Table1[[#This Row],[Customer ID]],customers!$A$1:$A$1001,customers!$I$1:$I$1001,,0)</f>
        <v>Yes</v>
      </c>
    </row>
    <row r="275" spans="1:16" x14ac:dyDescent="0.2">
      <c r="A275" s="2" t="s">
        <v>2032</v>
      </c>
      <c r="B275" s="3">
        <v>44681</v>
      </c>
      <c r="C275" s="2" t="s">
        <v>2033</v>
      </c>
      <c r="D275" t="s">
        <v>6167</v>
      </c>
      <c r="E275" s="2">
        <v>2</v>
      </c>
      <c r="F275" s="2" t="str">
        <f>_xlfn.XLOOKUP(C275,customers!$A274:$A1274,customers!$B274:$B1274,,0)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5">
        <f>INDEX(products!$A$1:$G$49,MATCH(orders!$D275,products!$A$1:$A$49,0),MATCH(orders!K$1,products!$A$1:$G$1,0))</f>
        <v>0.2</v>
      </c>
      <c r="L275" s="7">
        <f>INDEX(products!$A$1:$G$49,MATCH(orders!$D275,products!$A$1:$A$49,0),MATCH(orders!L$1,products!$A$1:$G$1,0))</f>
        <v>3.8849999999999998</v>
      </c>
      <c r="M275" s="7">
        <f t="shared" si="12"/>
        <v>7.77</v>
      </c>
      <c r="N275" t="str">
        <f t="shared" si="13"/>
        <v>Arabica</v>
      </c>
      <c r="O275" t="str">
        <f t="shared" si="14"/>
        <v>Light</v>
      </c>
      <c r="P275" t="str">
        <f>_xlfn.XLOOKUP(Table1[[#This Row],[Customer ID]],customers!$A$1:$A$1001,customers!$I$1:$I$1001,,0)</f>
        <v>No</v>
      </c>
    </row>
    <row r="276" spans="1:16" x14ac:dyDescent="0.2">
      <c r="A276" s="2" t="s">
        <v>2038</v>
      </c>
      <c r="B276" s="3">
        <v>43985</v>
      </c>
      <c r="C276" s="2" t="s">
        <v>2039</v>
      </c>
      <c r="D276" t="s">
        <v>6175</v>
      </c>
      <c r="E276" s="2">
        <v>1</v>
      </c>
      <c r="F276" s="2" t="str">
        <f>_xlfn.XLOOKUP(C276,customers!$A275:$A1275,customers!$B275:$B1275,,0)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5">
        <f>INDEX(products!$A$1:$G$49,MATCH(orders!$D276,products!$A$1:$A$49,0),MATCH(orders!K$1,products!$A$1:$G$1,0))</f>
        <v>2.5</v>
      </c>
      <c r="L276" s="7">
        <f>INDEX(products!$A$1:$G$49,MATCH(orders!$D276,products!$A$1:$A$49,0),MATCH(orders!L$1,products!$A$1:$G$1,0))</f>
        <v>25.874999999999996</v>
      </c>
      <c r="M276" s="7">
        <f t="shared" si="12"/>
        <v>25.874999999999996</v>
      </c>
      <c r="N276" t="str">
        <f t="shared" si="13"/>
        <v>Arabica</v>
      </c>
      <c r="O276" t="str">
        <f t="shared" si="14"/>
        <v>Medium</v>
      </c>
      <c r="P276" t="str">
        <f>_xlfn.XLOOKUP(Table1[[#This Row],[Customer ID]],customers!$A$1:$A$1001,customers!$I$1:$I$1001,,0)</f>
        <v>No</v>
      </c>
    </row>
    <row r="277" spans="1:16" x14ac:dyDescent="0.2">
      <c r="A277" s="2" t="s">
        <v>2044</v>
      </c>
      <c r="B277" s="3">
        <v>44725</v>
      </c>
      <c r="C277" s="2" t="s">
        <v>2045</v>
      </c>
      <c r="D277" t="s">
        <v>6148</v>
      </c>
      <c r="E277" s="2">
        <v>6</v>
      </c>
      <c r="F277" s="2" t="str">
        <f>_xlfn.XLOOKUP(C277,customers!$A276:$A1276,customers!$B276:$B1276,,0)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5">
        <f>INDEX(products!$A$1:$G$49,MATCH(orders!$D277,products!$A$1:$A$49,0),MATCH(orders!K$1,products!$A$1:$G$1,0))</f>
        <v>2.5</v>
      </c>
      <c r="L277" s="7">
        <f>INDEX(products!$A$1:$G$49,MATCH(orders!$D277,products!$A$1:$A$49,0),MATCH(orders!L$1,products!$A$1:$G$1,0))</f>
        <v>34.154999999999994</v>
      </c>
      <c r="M277" s="7">
        <f t="shared" si="12"/>
        <v>204.92999999999995</v>
      </c>
      <c r="N277" t="str">
        <f t="shared" si="13"/>
        <v>Excelsa</v>
      </c>
      <c r="O277" t="str">
        <f t="shared" si="14"/>
        <v>Light</v>
      </c>
      <c r="P277" t="str">
        <f>_xlfn.XLOOKUP(Table1[[#This Row],[Customer ID]],customers!$A$1:$A$1001,customers!$I$1:$I$1001,,0)</f>
        <v>No</v>
      </c>
    </row>
    <row r="278" spans="1:16" x14ac:dyDescent="0.2">
      <c r="A278" s="2" t="s">
        <v>2050</v>
      </c>
      <c r="B278" s="3">
        <v>43992</v>
      </c>
      <c r="C278" s="2" t="s">
        <v>2051</v>
      </c>
      <c r="D278" t="s">
        <v>6142</v>
      </c>
      <c r="E278" s="2">
        <v>4</v>
      </c>
      <c r="F278" s="2" t="str">
        <f>_xlfn.XLOOKUP(C278,customers!$A277:$A1277,customers!$B277:$B1277,,0)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5">
        <f>INDEX(products!$A$1:$G$49,MATCH(orders!$D278,products!$A$1:$A$49,0),MATCH(orders!K$1,products!$A$1:$G$1,0))</f>
        <v>2.5</v>
      </c>
      <c r="L278" s="7">
        <f>INDEX(products!$A$1:$G$49,MATCH(orders!$D278,products!$A$1:$A$49,0),MATCH(orders!L$1,products!$A$1:$G$1,0))</f>
        <v>27.484999999999996</v>
      </c>
      <c r="M278" s="7">
        <f t="shared" si="12"/>
        <v>109.93999999999998</v>
      </c>
      <c r="N278" t="str">
        <f t="shared" si="13"/>
        <v>Robusta</v>
      </c>
      <c r="O278" t="str">
        <f t="shared" si="14"/>
        <v>Light</v>
      </c>
      <c r="P278" t="str">
        <f>_xlfn.XLOOKUP(Table1[[#This Row],[Customer ID]],customers!$A$1:$A$1001,customers!$I$1:$I$1001,,0)</f>
        <v>Yes</v>
      </c>
    </row>
    <row r="279" spans="1:16" x14ac:dyDescent="0.2">
      <c r="A279" s="2" t="s">
        <v>2056</v>
      </c>
      <c r="B279" s="3">
        <v>44183</v>
      </c>
      <c r="C279" s="2" t="s">
        <v>2057</v>
      </c>
      <c r="D279" t="s">
        <v>6171</v>
      </c>
      <c r="E279" s="2">
        <v>6</v>
      </c>
      <c r="F279" s="2" t="str">
        <f>_xlfn.XLOOKUP(C279,customers!$A278:$A1278,customers!$B278:$B1278,,0)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5">
        <f>INDEX(products!$A$1:$G$49,MATCH(orders!$D279,products!$A$1:$A$49,0),MATCH(orders!K$1,products!$A$1:$G$1,0))</f>
        <v>1</v>
      </c>
      <c r="L279" s="7">
        <f>INDEX(products!$A$1:$G$49,MATCH(orders!$D279,products!$A$1:$A$49,0),MATCH(orders!L$1,products!$A$1:$G$1,0))</f>
        <v>14.85</v>
      </c>
      <c r="M279" s="7">
        <f t="shared" si="12"/>
        <v>89.1</v>
      </c>
      <c r="N279" t="str">
        <f t="shared" si="13"/>
        <v>Excelsa</v>
      </c>
      <c r="O279" t="str">
        <f t="shared" si="14"/>
        <v>Light</v>
      </c>
      <c r="P279" t="str">
        <f>_xlfn.XLOOKUP(Table1[[#This Row],[Customer ID]],customers!$A$1:$A$1001,customers!$I$1:$I$1001,,0)</f>
        <v>No</v>
      </c>
    </row>
    <row r="280" spans="1:16" x14ac:dyDescent="0.2">
      <c r="A280" s="2" t="s">
        <v>2062</v>
      </c>
      <c r="B280" s="3">
        <v>43708</v>
      </c>
      <c r="C280" s="2" t="s">
        <v>2063</v>
      </c>
      <c r="D280" t="s">
        <v>6167</v>
      </c>
      <c r="E280" s="2">
        <v>2</v>
      </c>
      <c r="F280" s="2" t="str">
        <f>_xlfn.XLOOKUP(C280,customers!$A279:$A1279,customers!$B279:$B1279,,0)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5">
        <f>INDEX(products!$A$1:$G$49,MATCH(orders!$D280,products!$A$1:$A$49,0),MATCH(orders!K$1,products!$A$1:$G$1,0))</f>
        <v>0.2</v>
      </c>
      <c r="L280" s="7">
        <f>INDEX(products!$A$1:$G$49,MATCH(orders!$D280,products!$A$1:$A$49,0),MATCH(orders!L$1,products!$A$1:$G$1,0))</f>
        <v>3.8849999999999998</v>
      </c>
      <c r="M280" s="7">
        <f t="shared" si="12"/>
        <v>7.77</v>
      </c>
      <c r="N280" t="str">
        <f t="shared" si="13"/>
        <v>Arabica</v>
      </c>
      <c r="O280" t="str">
        <f t="shared" si="14"/>
        <v>Light</v>
      </c>
      <c r="P280" t="str">
        <f>_xlfn.XLOOKUP(Table1[[#This Row],[Customer ID]],customers!$A$1:$A$1001,customers!$I$1:$I$1001,,0)</f>
        <v>Yes</v>
      </c>
    </row>
    <row r="281" spans="1:16" x14ac:dyDescent="0.2">
      <c r="A281" s="2" t="s">
        <v>2068</v>
      </c>
      <c r="B281" s="3">
        <v>43521</v>
      </c>
      <c r="C281" s="2" t="s">
        <v>2069</v>
      </c>
      <c r="D281" t="s">
        <v>6181</v>
      </c>
      <c r="E281" s="2">
        <v>1</v>
      </c>
      <c r="F281" s="2" t="str">
        <f>_xlfn.XLOOKUP(C281,customers!$A280:$A1280,customers!$B280:$B1280,,0)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5">
        <f>INDEX(products!$A$1:$G$49,MATCH(orders!$D281,products!$A$1:$A$49,0),MATCH(orders!K$1,products!$A$1:$G$1,0))</f>
        <v>2.5</v>
      </c>
      <c r="L281" s="7">
        <f>INDEX(products!$A$1:$G$49,MATCH(orders!$D281,products!$A$1:$A$49,0),MATCH(orders!L$1,products!$A$1:$G$1,0))</f>
        <v>33.464999999999996</v>
      </c>
      <c r="M281" s="7">
        <f t="shared" si="12"/>
        <v>33.464999999999996</v>
      </c>
      <c r="N281" t="str">
        <f t="shared" si="13"/>
        <v>Liberica</v>
      </c>
      <c r="O281" t="str">
        <f t="shared" si="14"/>
        <v>Medium</v>
      </c>
      <c r="P281" t="str">
        <f>_xlfn.XLOOKUP(Table1[[#This Row],[Customer ID]],customers!$A$1:$A$1001,customers!$I$1:$I$1001,,0)</f>
        <v>Yes</v>
      </c>
    </row>
    <row r="282" spans="1:16" x14ac:dyDescent="0.2">
      <c r="A282" s="2" t="s">
        <v>2074</v>
      </c>
      <c r="B282" s="3">
        <v>44234</v>
      </c>
      <c r="C282" s="2" t="s">
        <v>2075</v>
      </c>
      <c r="D282" t="s">
        <v>6139</v>
      </c>
      <c r="E282" s="2">
        <v>5</v>
      </c>
      <c r="F282" s="2" t="str">
        <f>_xlfn.XLOOKUP(C282,customers!$A281:$A1281,customers!$B281:$B1281,,0)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5">
        <f>INDEX(products!$A$1:$G$49,MATCH(orders!$D282,products!$A$1:$A$49,0),MATCH(orders!K$1,products!$A$1:$G$1,0))</f>
        <v>0.5</v>
      </c>
      <c r="L282" s="7">
        <f>INDEX(products!$A$1:$G$49,MATCH(orders!$D282,products!$A$1:$A$49,0),MATCH(orders!L$1,products!$A$1:$G$1,0))</f>
        <v>8.25</v>
      </c>
      <c r="M282" s="7">
        <f t="shared" si="12"/>
        <v>41.25</v>
      </c>
      <c r="N282" t="str">
        <f t="shared" si="13"/>
        <v>Excelsa</v>
      </c>
      <c r="O282" t="str">
        <f t="shared" si="14"/>
        <v>Medium</v>
      </c>
      <c r="P282" t="str">
        <f>_xlfn.XLOOKUP(Table1[[#This Row],[Customer ID]],customers!$A$1:$A$1001,customers!$I$1:$I$1001,,0)</f>
        <v>Yes</v>
      </c>
    </row>
    <row r="283" spans="1:16" x14ac:dyDescent="0.2">
      <c r="A283" s="2" t="s">
        <v>2079</v>
      </c>
      <c r="B283" s="3">
        <v>44210</v>
      </c>
      <c r="C283" s="2" t="s">
        <v>2080</v>
      </c>
      <c r="D283" t="s">
        <v>6171</v>
      </c>
      <c r="E283" s="2">
        <v>4</v>
      </c>
      <c r="F283" s="2" t="str">
        <f>_xlfn.XLOOKUP(C283,customers!$A282:$A1282,customers!$B282:$B1282,,0)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5">
        <f>INDEX(products!$A$1:$G$49,MATCH(orders!$D283,products!$A$1:$A$49,0),MATCH(orders!K$1,products!$A$1:$G$1,0))</f>
        <v>1</v>
      </c>
      <c r="L283" s="7">
        <f>INDEX(products!$A$1:$G$49,MATCH(orders!$D283,products!$A$1:$A$49,0),MATCH(orders!L$1,products!$A$1:$G$1,0))</f>
        <v>14.85</v>
      </c>
      <c r="M283" s="7">
        <f t="shared" si="12"/>
        <v>59.4</v>
      </c>
      <c r="N283" t="str">
        <f t="shared" si="13"/>
        <v>Excelsa</v>
      </c>
      <c r="O283" t="str">
        <f t="shared" si="14"/>
        <v>Light</v>
      </c>
      <c r="P283" t="str">
        <f>_xlfn.XLOOKUP(Table1[[#This Row],[Customer ID]],customers!$A$1:$A$1001,customers!$I$1:$I$1001,,0)</f>
        <v>Yes</v>
      </c>
    </row>
    <row r="284" spans="1:16" x14ac:dyDescent="0.2">
      <c r="A284" s="2" t="s">
        <v>2085</v>
      </c>
      <c r="B284" s="3">
        <v>43520</v>
      </c>
      <c r="C284" s="2" t="s">
        <v>2086</v>
      </c>
      <c r="D284" t="s">
        <v>6180</v>
      </c>
      <c r="E284" s="2">
        <v>1</v>
      </c>
      <c r="F284" s="2" t="str">
        <f>_xlfn.XLOOKUP(C284,customers!$A283:$A1283,customers!$B283:$B1283,,0)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5">
        <f>INDEX(products!$A$1:$G$49,MATCH(orders!$D284,products!$A$1:$A$49,0),MATCH(orders!K$1,products!$A$1:$G$1,0))</f>
        <v>0.5</v>
      </c>
      <c r="L284" s="7">
        <f>INDEX(products!$A$1:$G$49,MATCH(orders!$D284,products!$A$1:$A$49,0),MATCH(orders!L$1,products!$A$1:$G$1,0))</f>
        <v>7.77</v>
      </c>
      <c r="M284" s="7">
        <f t="shared" si="12"/>
        <v>7.77</v>
      </c>
      <c r="N284" t="str">
        <f t="shared" si="13"/>
        <v>Arabica</v>
      </c>
      <c r="O284" t="str">
        <f t="shared" si="14"/>
        <v>Light</v>
      </c>
      <c r="P284" t="str">
        <f>_xlfn.XLOOKUP(Table1[[#This Row],[Customer ID]],customers!$A$1:$A$1001,customers!$I$1:$I$1001,,0)</f>
        <v>No</v>
      </c>
    </row>
    <row r="285" spans="1:16" x14ac:dyDescent="0.2">
      <c r="A285" s="2" t="s">
        <v>2091</v>
      </c>
      <c r="B285" s="3">
        <v>43639</v>
      </c>
      <c r="C285" s="2" t="s">
        <v>2092</v>
      </c>
      <c r="D285" t="s">
        <v>6172</v>
      </c>
      <c r="E285" s="2">
        <v>1</v>
      </c>
      <c r="F285" s="2" t="str">
        <f>_xlfn.XLOOKUP(C285,customers!$A284:$A1284,customers!$B284:$B1284,,0)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5">
        <f>INDEX(products!$A$1:$G$49,MATCH(orders!$D285,products!$A$1:$A$49,0),MATCH(orders!K$1,products!$A$1:$G$1,0))</f>
        <v>0.5</v>
      </c>
      <c r="L285" s="7">
        <f>INDEX(products!$A$1:$G$49,MATCH(orders!$D285,products!$A$1:$A$49,0),MATCH(orders!L$1,products!$A$1:$G$1,0))</f>
        <v>5.3699999999999992</v>
      </c>
      <c r="M285" s="7">
        <f t="shared" si="12"/>
        <v>5.3699999999999992</v>
      </c>
      <c r="N285" t="str">
        <f t="shared" si="13"/>
        <v>Robusta</v>
      </c>
      <c r="O285" t="str">
        <f t="shared" si="14"/>
        <v>Dark</v>
      </c>
      <c r="P285" t="str">
        <f>_xlfn.XLOOKUP(Table1[[#This Row],[Customer ID]],customers!$A$1:$A$1001,customers!$I$1:$I$1001,,0)</f>
        <v>Yes</v>
      </c>
    </row>
    <row r="286" spans="1:16" x14ac:dyDescent="0.2">
      <c r="A286" s="2" t="s">
        <v>2097</v>
      </c>
      <c r="B286" s="3">
        <v>43960</v>
      </c>
      <c r="C286" s="2" t="s">
        <v>2098</v>
      </c>
      <c r="D286" t="s">
        <v>6166</v>
      </c>
      <c r="E286" s="2">
        <v>3</v>
      </c>
      <c r="F286" s="2" t="str">
        <f>_xlfn.XLOOKUP(C286,customers!$A285:$A1285,customers!$B285:$B1285,,0)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5">
        <f>INDEX(products!$A$1:$G$49,MATCH(orders!$D286,products!$A$1:$A$49,0),MATCH(orders!K$1,products!$A$1:$G$1,0))</f>
        <v>2.5</v>
      </c>
      <c r="L286" s="7">
        <f>INDEX(products!$A$1:$G$49,MATCH(orders!$D286,products!$A$1:$A$49,0),MATCH(orders!L$1,products!$A$1:$G$1,0))</f>
        <v>31.624999999999996</v>
      </c>
      <c r="M286" s="7">
        <f t="shared" si="12"/>
        <v>94.874999999999986</v>
      </c>
      <c r="N286" t="str">
        <f t="shared" si="13"/>
        <v>Excelsa</v>
      </c>
      <c r="O286" t="str">
        <f t="shared" si="14"/>
        <v>Medium</v>
      </c>
      <c r="P286" t="str">
        <f>_xlfn.XLOOKUP(Table1[[#This Row],[Customer ID]],customers!$A$1:$A$1001,customers!$I$1:$I$1001,,0)</f>
        <v>No</v>
      </c>
    </row>
    <row r="287" spans="1:16" x14ac:dyDescent="0.2">
      <c r="A287" s="2" t="s">
        <v>2102</v>
      </c>
      <c r="B287" s="3">
        <v>44030</v>
      </c>
      <c r="C287" s="2" t="s">
        <v>2103</v>
      </c>
      <c r="D287" t="s">
        <v>6164</v>
      </c>
      <c r="E287" s="2">
        <v>1</v>
      </c>
      <c r="F287" s="2" t="str">
        <f>_xlfn.XLOOKUP(C287,customers!$A286:$A1286,customers!$B286:$B1286,,0)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5">
        <f>INDEX(products!$A$1:$G$49,MATCH(orders!$D287,products!$A$1:$A$49,0),MATCH(orders!K$1,products!$A$1:$G$1,0))</f>
        <v>2.5</v>
      </c>
      <c r="L287" s="7">
        <f>INDEX(products!$A$1:$G$49,MATCH(orders!$D287,products!$A$1:$A$49,0),MATCH(orders!L$1,products!$A$1:$G$1,0))</f>
        <v>36.454999999999998</v>
      </c>
      <c r="M287" s="7">
        <f t="shared" si="12"/>
        <v>36.454999999999998</v>
      </c>
      <c r="N287" t="str">
        <f t="shared" si="13"/>
        <v>Liberica</v>
      </c>
      <c r="O287" t="str">
        <f t="shared" si="14"/>
        <v>Light</v>
      </c>
      <c r="P287" t="str">
        <f>_xlfn.XLOOKUP(Table1[[#This Row],[Customer ID]],customers!$A$1:$A$1001,customers!$I$1:$I$1001,,0)</f>
        <v>No</v>
      </c>
    </row>
    <row r="288" spans="1:16" x14ac:dyDescent="0.2">
      <c r="A288" s="2" t="s">
        <v>2107</v>
      </c>
      <c r="B288" s="3">
        <v>43755</v>
      </c>
      <c r="C288" s="2" t="s">
        <v>2108</v>
      </c>
      <c r="D288" t="s">
        <v>6152</v>
      </c>
      <c r="E288" s="2">
        <v>4</v>
      </c>
      <c r="F288" s="2" t="str">
        <f>_xlfn.XLOOKUP(C288,customers!$A287:$A1287,customers!$B287:$B1287,,0)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5">
        <f>INDEX(products!$A$1:$G$49,MATCH(orders!$D288,products!$A$1:$A$49,0),MATCH(orders!K$1,products!$A$1:$G$1,0))</f>
        <v>0.2</v>
      </c>
      <c r="L288" s="7">
        <f>INDEX(products!$A$1:$G$49,MATCH(orders!$D288,products!$A$1:$A$49,0),MATCH(orders!L$1,products!$A$1:$G$1,0))</f>
        <v>3.375</v>
      </c>
      <c r="M288" s="7">
        <f t="shared" si="12"/>
        <v>13.5</v>
      </c>
      <c r="N288" t="str">
        <f t="shared" si="13"/>
        <v>Arabica</v>
      </c>
      <c r="O288" t="str">
        <f t="shared" si="14"/>
        <v>Medium</v>
      </c>
      <c r="P288" t="str">
        <f>_xlfn.XLOOKUP(Table1[[#This Row],[Customer ID]],customers!$A$1:$A$1001,customers!$I$1:$I$1001,,0)</f>
        <v>Yes</v>
      </c>
    </row>
    <row r="289" spans="1:16" x14ac:dyDescent="0.2">
      <c r="A289" s="2" t="s">
        <v>2112</v>
      </c>
      <c r="B289" s="3">
        <v>44697</v>
      </c>
      <c r="C289" s="2" t="s">
        <v>2113</v>
      </c>
      <c r="D289" t="s">
        <v>6178</v>
      </c>
      <c r="E289" s="2">
        <v>4</v>
      </c>
      <c r="F289" s="2" t="str">
        <f>_xlfn.XLOOKUP(C289,customers!$A288:$A1288,customers!$B288:$B1288,,0)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5">
        <f>INDEX(products!$A$1:$G$49,MATCH(orders!$D289,products!$A$1:$A$49,0),MATCH(orders!K$1,products!$A$1:$G$1,0))</f>
        <v>0.2</v>
      </c>
      <c r="L289" s="7">
        <f>INDEX(products!$A$1:$G$49,MATCH(orders!$D289,products!$A$1:$A$49,0),MATCH(orders!L$1,products!$A$1:$G$1,0))</f>
        <v>3.5849999999999995</v>
      </c>
      <c r="M289" s="7">
        <f t="shared" si="12"/>
        <v>14.339999999999998</v>
      </c>
      <c r="N289" t="str">
        <f t="shared" si="13"/>
        <v>Robusta</v>
      </c>
      <c r="O289" t="str">
        <f t="shared" si="14"/>
        <v>Light</v>
      </c>
      <c r="P289" t="str">
        <f>_xlfn.XLOOKUP(Table1[[#This Row],[Customer ID]],customers!$A$1:$A$1001,customers!$I$1:$I$1001,,0)</f>
        <v>No</v>
      </c>
    </row>
    <row r="290" spans="1:16" x14ac:dyDescent="0.2">
      <c r="A290" s="2" t="s">
        <v>2118</v>
      </c>
      <c r="B290" s="3">
        <v>44279</v>
      </c>
      <c r="C290" s="2" t="s">
        <v>2119</v>
      </c>
      <c r="D290" t="s">
        <v>6139</v>
      </c>
      <c r="E290" s="2">
        <v>1</v>
      </c>
      <c r="F290" s="2" t="str">
        <f>_xlfn.XLOOKUP(C290,customers!$A289:$A1289,customers!$B289:$B1289,,0)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5">
        <f>INDEX(products!$A$1:$G$49,MATCH(orders!$D290,products!$A$1:$A$49,0),MATCH(orders!K$1,products!$A$1:$G$1,0))</f>
        <v>0.5</v>
      </c>
      <c r="L290" s="7">
        <f>INDEX(products!$A$1:$G$49,MATCH(orders!$D290,products!$A$1:$A$49,0),MATCH(orders!L$1,products!$A$1:$G$1,0))</f>
        <v>8.25</v>
      </c>
      <c r="M290" s="7">
        <f t="shared" si="12"/>
        <v>8.25</v>
      </c>
      <c r="N290" t="str">
        <f t="shared" si="13"/>
        <v>Excelsa</v>
      </c>
      <c r="O290" t="str">
        <f t="shared" si="14"/>
        <v>Medium</v>
      </c>
      <c r="P290" t="str">
        <f>_xlfn.XLOOKUP(Table1[[#This Row],[Customer ID]],customers!$A$1:$A$1001,customers!$I$1:$I$1001,,0)</f>
        <v>Yes</v>
      </c>
    </row>
    <row r="291" spans="1:16" x14ac:dyDescent="0.2">
      <c r="A291" s="2" t="s">
        <v>2123</v>
      </c>
      <c r="B291" s="3">
        <v>43772</v>
      </c>
      <c r="C291" s="2" t="s">
        <v>2124</v>
      </c>
      <c r="D291" t="s">
        <v>6163</v>
      </c>
      <c r="E291" s="2">
        <v>5</v>
      </c>
      <c r="F291" s="2" t="str">
        <f>_xlfn.XLOOKUP(C291,customers!$A290:$A1290,customers!$B290:$B1290,,0)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5">
        <f>INDEX(products!$A$1:$G$49,MATCH(orders!$D291,products!$A$1:$A$49,0),MATCH(orders!K$1,products!$A$1:$G$1,0))</f>
        <v>0.2</v>
      </c>
      <c r="L291" s="7">
        <f>INDEX(products!$A$1:$G$49,MATCH(orders!$D291,products!$A$1:$A$49,0),MATCH(orders!L$1,products!$A$1:$G$1,0))</f>
        <v>2.6849999999999996</v>
      </c>
      <c r="M291" s="7">
        <f t="shared" si="12"/>
        <v>13.424999999999997</v>
      </c>
      <c r="N291" t="str">
        <f t="shared" si="13"/>
        <v>Robusta</v>
      </c>
      <c r="O291" t="str">
        <f t="shared" si="14"/>
        <v>Dark</v>
      </c>
      <c r="P291" t="str">
        <f>_xlfn.XLOOKUP(Table1[[#This Row],[Customer ID]],customers!$A$1:$A$1001,customers!$I$1:$I$1001,,0)</f>
        <v>Yes</v>
      </c>
    </row>
    <row r="292" spans="1:16" x14ac:dyDescent="0.2">
      <c r="A292" s="2" t="s">
        <v>2127</v>
      </c>
      <c r="B292" s="3">
        <v>44497</v>
      </c>
      <c r="C292" s="2" t="s">
        <v>2128</v>
      </c>
      <c r="D292" t="s">
        <v>6147</v>
      </c>
      <c r="E292" s="2">
        <v>5</v>
      </c>
      <c r="F292" s="2" t="str">
        <f>_xlfn.XLOOKUP(C292,customers!$A291:$A1291,customers!$B291:$B1291,,0)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5">
        <f>INDEX(products!$A$1:$G$49,MATCH(orders!$D292,products!$A$1:$A$49,0),MATCH(orders!K$1,products!$A$1:$G$1,0))</f>
        <v>1</v>
      </c>
      <c r="L292" s="7">
        <f>INDEX(products!$A$1:$G$49,MATCH(orders!$D292,products!$A$1:$A$49,0),MATCH(orders!L$1,products!$A$1:$G$1,0))</f>
        <v>9.9499999999999993</v>
      </c>
      <c r="M292" s="7">
        <f t="shared" si="12"/>
        <v>49.75</v>
      </c>
      <c r="N292" t="str">
        <f t="shared" si="13"/>
        <v>Arabica</v>
      </c>
      <c r="O292" t="str">
        <f t="shared" si="14"/>
        <v>Dark</v>
      </c>
      <c r="P292" t="str">
        <f>_xlfn.XLOOKUP(Table1[[#This Row],[Customer ID]],customers!$A$1:$A$1001,customers!$I$1:$I$1001,,0)</f>
        <v>No</v>
      </c>
    </row>
    <row r="293" spans="1:16" x14ac:dyDescent="0.2">
      <c r="A293" s="2" t="s">
        <v>2133</v>
      </c>
      <c r="B293" s="3">
        <v>44181</v>
      </c>
      <c r="C293" s="2" t="s">
        <v>2134</v>
      </c>
      <c r="D293" t="s">
        <v>6139</v>
      </c>
      <c r="E293" s="2">
        <v>2</v>
      </c>
      <c r="F293" s="2" t="str">
        <f>_xlfn.XLOOKUP(C293,customers!$A292:$A1292,customers!$B292:$B1292,,0)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5">
        <f>INDEX(products!$A$1:$G$49,MATCH(orders!$D293,products!$A$1:$A$49,0),MATCH(orders!K$1,products!$A$1:$G$1,0))</f>
        <v>0.5</v>
      </c>
      <c r="L293" s="7">
        <f>INDEX(products!$A$1:$G$49,MATCH(orders!$D293,products!$A$1:$A$49,0),MATCH(orders!L$1,products!$A$1:$G$1,0))</f>
        <v>8.25</v>
      </c>
      <c r="M293" s="7">
        <f t="shared" si="12"/>
        <v>16.5</v>
      </c>
      <c r="N293" t="str">
        <f t="shared" si="13"/>
        <v>Excelsa</v>
      </c>
      <c r="O293" t="str">
        <f t="shared" si="14"/>
        <v>Medium</v>
      </c>
      <c r="P293" t="str">
        <f>_xlfn.XLOOKUP(Table1[[#This Row],[Customer ID]],customers!$A$1:$A$1001,customers!$I$1:$I$1001,,0)</f>
        <v>No</v>
      </c>
    </row>
    <row r="294" spans="1:16" x14ac:dyDescent="0.2">
      <c r="A294" s="2" t="s">
        <v>2137</v>
      </c>
      <c r="B294" s="3">
        <v>44529</v>
      </c>
      <c r="C294" s="2" t="s">
        <v>2138</v>
      </c>
      <c r="D294" t="s">
        <v>6158</v>
      </c>
      <c r="E294" s="2">
        <v>3</v>
      </c>
      <c r="F294" s="2" t="str">
        <f>_xlfn.XLOOKUP(C294,customers!$A293:$A1293,customers!$B293:$B1293,,0)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5">
        <f>INDEX(products!$A$1:$G$49,MATCH(orders!$D294,products!$A$1:$A$49,0),MATCH(orders!K$1,products!$A$1:$G$1,0))</f>
        <v>0.5</v>
      </c>
      <c r="L294" s="7">
        <f>INDEX(products!$A$1:$G$49,MATCH(orders!$D294,products!$A$1:$A$49,0),MATCH(orders!L$1,products!$A$1:$G$1,0))</f>
        <v>5.97</v>
      </c>
      <c r="M294" s="7">
        <f t="shared" si="12"/>
        <v>17.91</v>
      </c>
      <c r="N294" t="str">
        <f t="shared" si="13"/>
        <v>Arabica</v>
      </c>
      <c r="O294" t="str">
        <f t="shared" si="14"/>
        <v>Dark</v>
      </c>
      <c r="P294" t="str">
        <f>_xlfn.XLOOKUP(Table1[[#This Row],[Customer ID]],customers!$A$1:$A$1001,customers!$I$1:$I$1001,,0)</f>
        <v>No</v>
      </c>
    </row>
    <row r="295" spans="1:16" x14ac:dyDescent="0.2">
      <c r="A295" s="2" t="s">
        <v>2142</v>
      </c>
      <c r="B295" s="3">
        <v>44275</v>
      </c>
      <c r="C295" s="2" t="s">
        <v>2143</v>
      </c>
      <c r="D295" t="s">
        <v>6158</v>
      </c>
      <c r="E295" s="2">
        <v>5</v>
      </c>
      <c r="F295" s="2" t="str">
        <f>_xlfn.XLOOKUP(C295,customers!$A294:$A1294,customers!$B294:$B1294,,0)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5">
        <f>INDEX(products!$A$1:$G$49,MATCH(orders!$D295,products!$A$1:$A$49,0),MATCH(orders!K$1,products!$A$1:$G$1,0))</f>
        <v>0.5</v>
      </c>
      <c r="L295" s="7">
        <f>INDEX(products!$A$1:$G$49,MATCH(orders!$D295,products!$A$1:$A$49,0),MATCH(orders!L$1,products!$A$1:$G$1,0))</f>
        <v>5.97</v>
      </c>
      <c r="M295" s="7">
        <f t="shared" si="12"/>
        <v>29.849999999999998</v>
      </c>
      <c r="N295" t="str">
        <f t="shared" si="13"/>
        <v>Arabica</v>
      </c>
      <c r="O295" t="str">
        <f t="shared" si="14"/>
        <v>Dark</v>
      </c>
      <c r="P295" t="str">
        <f>_xlfn.XLOOKUP(Table1[[#This Row],[Customer ID]],customers!$A$1:$A$1001,customers!$I$1:$I$1001,,0)</f>
        <v>No</v>
      </c>
    </row>
    <row r="296" spans="1:16" x14ac:dyDescent="0.2">
      <c r="A296" s="2" t="s">
        <v>2148</v>
      </c>
      <c r="B296" s="3">
        <v>44659</v>
      </c>
      <c r="C296" s="2" t="s">
        <v>2149</v>
      </c>
      <c r="D296" t="s">
        <v>6171</v>
      </c>
      <c r="E296" s="2">
        <v>3</v>
      </c>
      <c r="F296" s="2" t="str">
        <f>_xlfn.XLOOKUP(C296,customers!$A295:$A1295,customers!$B295:$B1295,,0)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5">
        <f>INDEX(products!$A$1:$G$49,MATCH(orders!$D296,products!$A$1:$A$49,0),MATCH(orders!K$1,products!$A$1:$G$1,0))</f>
        <v>1</v>
      </c>
      <c r="L296" s="7">
        <f>INDEX(products!$A$1:$G$49,MATCH(orders!$D296,products!$A$1:$A$49,0),MATCH(orders!L$1,products!$A$1:$G$1,0))</f>
        <v>14.85</v>
      </c>
      <c r="M296" s="7">
        <f t="shared" si="12"/>
        <v>44.55</v>
      </c>
      <c r="N296" t="str">
        <f t="shared" si="13"/>
        <v>Excelsa</v>
      </c>
      <c r="O296" t="str">
        <f t="shared" si="14"/>
        <v>Light</v>
      </c>
      <c r="P296" t="str">
        <f>_xlfn.XLOOKUP(Table1[[#This Row],[Customer ID]],customers!$A$1:$A$1001,customers!$I$1:$I$1001,,0)</f>
        <v>No</v>
      </c>
    </row>
    <row r="297" spans="1:16" x14ac:dyDescent="0.2">
      <c r="A297" s="2" t="s">
        <v>2153</v>
      </c>
      <c r="B297" s="3">
        <v>44057</v>
      </c>
      <c r="C297" s="2" t="s">
        <v>2154</v>
      </c>
      <c r="D297" t="s">
        <v>6141</v>
      </c>
      <c r="E297" s="2">
        <v>2</v>
      </c>
      <c r="F297" s="2" t="str">
        <f>_xlfn.XLOOKUP(C297,customers!$A296:$A1296,customers!$B296:$B1296,,0)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5">
        <f>INDEX(products!$A$1:$G$49,MATCH(orders!$D297,products!$A$1:$A$49,0),MATCH(orders!K$1,products!$A$1:$G$1,0))</f>
        <v>1</v>
      </c>
      <c r="L297" s="7">
        <f>INDEX(products!$A$1:$G$49,MATCH(orders!$D297,products!$A$1:$A$49,0),MATCH(orders!L$1,products!$A$1:$G$1,0))</f>
        <v>13.75</v>
      </c>
      <c r="M297" s="7">
        <f t="shared" si="12"/>
        <v>27.5</v>
      </c>
      <c r="N297" t="str">
        <f t="shared" si="13"/>
        <v>Excelsa</v>
      </c>
      <c r="O297" t="str">
        <f t="shared" si="14"/>
        <v>Medium</v>
      </c>
      <c r="P297" t="str">
        <f>_xlfn.XLOOKUP(Table1[[#This Row],[Customer ID]],customers!$A$1:$A$1001,customers!$I$1:$I$1001,,0)</f>
        <v>No</v>
      </c>
    </row>
    <row r="298" spans="1:16" x14ac:dyDescent="0.2">
      <c r="A298" s="2" t="s">
        <v>2157</v>
      </c>
      <c r="B298" s="3">
        <v>43597</v>
      </c>
      <c r="C298" s="2" t="s">
        <v>2158</v>
      </c>
      <c r="D298" t="s">
        <v>6146</v>
      </c>
      <c r="E298" s="2">
        <v>6</v>
      </c>
      <c r="F298" s="2" t="str">
        <f>_xlfn.XLOOKUP(C298,customers!$A297:$A1297,customers!$B297:$B1297,,0)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5">
        <f>INDEX(products!$A$1:$G$49,MATCH(orders!$D298,products!$A$1:$A$49,0),MATCH(orders!K$1,products!$A$1:$G$1,0))</f>
        <v>0.5</v>
      </c>
      <c r="L298" s="7">
        <f>INDEX(products!$A$1:$G$49,MATCH(orders!$D298,products!$A$1:$A$49,0),MATCH(orders!L$1,products!$A$1:$G$1,0))</f>
        <v>5.97</v>
      </c>
      <c r="M298" s="7">
        <f t="shared" si="12"/>
        <v>35.82</v>
      </c>
      <c r="N298" t="str">
        <f t="shared" si="13"/>
        <v>Robusta</v>
      </c>
      <c r="O298" t="str">
        <f t="shared" si="14"/>
        <v>Medium</v>
      </c>
      <c r="P298" t="str">
        <f>_xlfn.XLOOKUP(Table1[[#This Row],[Customer ID]],customers!$A$1:$A$1001,customers!$I$1:$I$1001,,0)</f>
        <v>Yes</v>
      </c>
    </row>
    <row r="299" spans="1:16" x14ac:dyDescent="0.2">
      <c r="A299" s="2" t="s">
        <v>2163</v>
      </c>
      <c r="B299" s="3">
        <v>44258</v>
      </c>
      <c r="C299" s="2" t="s">
        <v>2164</v>
      </c>
      <c r="D299" t="s">
        <v>6172</v>
      </c>
      <c r="E299" s="2">
        <v>3</v>
      </c>
      <c r="F299" s="2" t="str">
        <f>_xlfn.XLOOKUP(C299,customers!$A298:$A1298,customers!$B298:$B1298,,0)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5">
        <f>INDEX(products!$A$1:$G$49,MATCH(orders!$D299,products!$A$1:$A$49,0),MATCH(orders!K$1,products!$A$1:$G$1,0))</f>
        <v>0.5</v>
      </c>
      <c r="L299" s="7">
        <f>INDEX(products!$A$1:$G$49,MATCH(orders!$D299,products!$A$1:$A$49,0),MATCH(orders!L$1,products!$A$1:$G$1,0))</f>
        <v>5.3699999999999992</v>
      </c>
      <c r="M299" s="7">
        <f t="shared" si="12"/>
        <v>16.11</v>
      </c>
      <c r="N299" t="str">
        <f t="shared" si="13"/>
        <v>Robusta</v>
      </c>
      <c r="O299" t="str">
        <f t="shared" si="14"/>
        <v>Dark</v>
      </c>
      <c r="P299" t="str">
        <f>_xlfn.XLOOKUP(Table1[[#This Row],[Customer ID]],customers!$A$1:$A$1001,customers!$I$1:$I$1001,,0)</f>
        <v>Yes</v>
      </c>
    </row>
    <row r="300" spans="1:16" x14ac:dyDescent="0.2">
      <c r="A300" s="2" t="s">
        <v>2169</v>
      </c>
      <c r="B300" s="3">
        <v>43872</v>
      </c>
      <c r="C300" s="2" t="s">
        <v>2170</v>
      </c>
      <c r="D300" t="s">
        <v>6184</v>
      </c>
      <c r="E300" s="2">
        <v>6</v>
      </c>
      <c r="F300" s="2" t="str">
        <f>_xlfn.XLOOKUP(C300,customers!$A299:$A1299,customers!$B299:$B1299,,0)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5">
        <f>INDEX(products!$A$1:$G$49,MATCH(orders!$D300,products!$A$1:$A$49,0),MATCH(orders!K$1,products!$A$1:$G$1,0))</f>
        <v>0.2</v>
      </c>
      <c r="L300" s="7">
        <f>INDEX(products!$A$1:$G$49,MATCH(orders!$D300,products!$A$1:$A$49,0),MATCH(orders!L$1,products!$A$1:$G$1,0))</f>
        <v>4.4550000000000001</v>
      </c>
      <c r="M300" s="7">
        <f t="shared" si="12"/>
        <v>26.73</v>
      </c>
      <c r="N300" t="str">
        <f t="shared" si="13"/>
        <v>Excelsa</v>
      </c>
      <c r="O300" t="str">
        <f t="shared" si="14"/>
        <v>Light</v>
      </c>
      <c r="P300" t="str">
        <f>_xlfn.XLOOKUP(Table1[[#This Row],[Customer ID]],customers!$A$1:$A$1001,customers!$I$1:$I$1001,,0)</f>
        <v>Yes</v>
      </c>
    </row>
    <row r="301" spans="1:16" x14ac:dyDescent="0.2">
      <c r="A301" s="2" t="s">
        <v>2175</v>
      </c>
      <c r="B301" s="3">
        <v>43582</v>
      </c>
      <c r="C301" s="2" t="s">
        <v>2176</v>
      </c>
      <c r="D301" t="s">
        <v>6148</v>
      </c>
      <c r="E301" s="2">
        <v>6</v>
      </c>
      <c r="F301" s="2" t="str">
        <f>_xlfn.XLOOKUP(C301,customers!$A300:$A1300,customers!$B300:$B1300,,0)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5">
        <f>INDEX(products!$A$1:$G$49,MATCH(orders!$D301,products!$A$1:$A$49,0),MATCH(orders!K$1,products!$A$1:$G$1,0))</f>
        <v>2.5</v>
      </c>
      <c r="L301" s="7">
        <f>INDEX(products!$A$1:$G$49,MATCH(orders!$D301,products!$A$1:$A$49,0),MATCH(orders!L$1,products!$A$1:$G$1,0))</f>
        <v>34.154999999999994</v>
      </c>
      <c r="M301" s="7">
        <f t="shared" si="12"/>
        <v>204.92999999999995</v>
      </c>
      <c r="N301" t="str">
        <f t="shared" si="13"/>
        <v>Excelsa</v>
      </c>
      <c r="O301" t="str">
        <f t="shared" si="14"/>
        <v>Light</v>
      </c>
      <c r="P301" t="str">
        <f>_xlfn.XLOOKUP(Table1[[#This Row],[Customer ID]],customers!$A$1:$A$1001,customers!$I$1:$I$1001,,0)</f>
        <v>Yes</v>
      </c>
    </row>
    <row r="302" spans="1:16" x14ac:dyDescent="0.2">
      <c r="A302" s="2" t="s">
        <v>2181</v>
      </c>
      <c r="B302" s="3">
        <v>44646</v>
      </c>
      <c r="C302" s="2" t="s">
        <v>2182</v>
      </c>
      <c r="D302" t="s">
        <v>6140</v>
      </c>
      <c r="E302" s="2">
        <v>3</v>
      </c>
      <c r="F302" s="2" t="str">
        <f>_xlfn.XLOOKUP(C302,customers!$A301:$A1301,customers!$B301:$B1301,,0)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5">
        <f>INDEX(products!$A$1:$G$49,MATCH(orders!$D302,products!$A$1:$A$49,0),MATCH(orders!K$1,products!$A$1:$G$1,0))</f>
        <v>1</v>
      </c>
      <c r="L302" s="7">
        <f>INDEX(products!$A$1:$G$49,MATCH(orders!$D302,products!$A$1:$A$49,0),MATCH(orders!L$1,products!$A$1:$G$1,0))</f>
        <v>12.95</v>
      </c>
      <c r="M302" s="7">
        <f t="shared" si="12"/>
        <v>38.849999999999994</v>
      </c>
      <c r="N302" t="str">
        <f t="shared" si="13"/>
        <v>Arabica</v>
      </c>
      <c r="O302" t="str">
        <f t="shared" si="14"/>
        <v>Light</v>
      </c>
      <c r="P302" t="str">
        <f>_xlfn.XLOOKUP(Table1[[#This Row],[Customer ID]],customers!$A$1:$A$1001,customers!$I$1:$I$1001,,0)</f>
        <v>Yes</v>
      </c>
    </row>
    <row r="303" spans="1:16" x14ac:dyDescent="0.2">
      <c r="A303" s="2" t="s">
        <v>2187</v>
      </c>
      <c r="B303" s="3">
        <v>44102</v>
      </c>
      <c r="C303" s="2" t="s">
        <v>2188</v>
      </c>
      <c r="D303" t="s">
        <v>6150</v>
      </c>
      <c r="E303" s="2">
        <v>4</v>
      </c>
      <c r="F303" s="2" t="str">
        <f>_xlfn.XLOOKUP(C303,customers!$A302:$A1302,customers!$B302:$B1302,,0)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5">
        <f>INDEX(products!$A$1:$G$49,MATCH(orders!$D303,products!$A$1:$A$49,0),MATCH(orders!K$1,products!$A$1:$G$1,0))</f>
        <v>0.2</v>
      </c>
      <c r="L303" s="7">
        <f>INDEX(products!$A$1:$G$49,MATCH(orders!$D303,products!$A$1:$A$49,0),MATCH(orders!L$1,products!$A$1:$G$1,0))</f>
        <v>3.8849999999999998</v>
      </c>
      <c r="M303" s="7">
        <f t="shared" si="12"/>
        <v>15.54</v>
      </c>
      <c r="N303" t="str">
        <f t="shared" si="13"/>
        <v>Liberica</v>
      </c>
      <c r="O303" t="str">
        <f t="shared" si="14"/>
        <v>Dark</v>
      </c>
      <c r="P303" t="str">
        <f>_xlfn.XLOOKUP(Table1[[#This Row],[Customer ID]],customers!$A$1:$A$1001,customers!$I$1:$I$1001,,0)</f>
        <v>Yes</v>
      </c>
    </row>
    <row r="304" spans="1:16" x14ac:dyDescent="0.2">
      <c r="A304" s="2" t="s">
        <v>2193</v>
      </c>
      <c r="B304" s="3">
        <v>43762</v>
      </c>
      <c r="C304" s="2" t="s">
        <v>2194</v>
      </c>
      <c r="D304" t="s">
        <v>6157</v>
      </c>
      <c r="E304" s="2">
        <v>1</v>
      </c>
      <c r="F304" s="2" t="str">
        <f>_xlfn.XLOOKUP(C304,customers!$A303:$A1303,customers!$B303:$B1303,,0)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5">
        <f>INDEX(products!$A$1:$G$49,MATCH(orders!$D304,products!$A$1:$A$49,0),MATCH(orders!K$1,products!$A$1:$G$1,0))</f>
        <v>0.5</v>
      </c>
      <c r="L304" s="7">
        <f>INDEX(products!$A$1:$G$49,MATCH(orders!$D304,products!$A$1:$A$49,0),MATCH(orders!L$1,products!$A$1:$G$1,0))</f>
        <v>6.75</v>
      </c>
      <c r="M304" s="7">
        <f t="shared" si="12"/>
        <v>6.75</v>
      </c>
      <c r="N304" t="str">
        <f t="shared" si="13"/>
        <v>Arabica</v>
      </c>
      <c r="O304" t="str">
        <f t="shared" si="14"/>
        <v>Medium</v>
      </c>
      <c r="P304" t="str">
        <f>_xlfn.XLOOKUP(Table1[[#This Row],[Customer ID]],customers!$A$1:$A$1001,customers!$I$1:$I$1001,,0)</f>
        <v>No</v>
      </c>
    </row>
    <row r="305" spans="1:16" x14ac:dyDescent="0.2">
      <c r="A305" s="2" t="s">
        <v>2199</v>
      </c>
      <c r="B305" s="3">
        <v>44412</v>
      </c>
      <c r="C305" s="2" t="s">
        <v>2200</v>
      </c>
      <c r="D305" t="s">
        <v>6185</v>
      </c>
      <c r="E305" s="2">
        <v>4</v>
      </c>
      <c r="F305" s="2" t="str">
        <f>_xlfn.XLOOKUP(C305,customers!$A304:$A1304,customers!$B304:$B1304,,0)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5">
        <f>INDEX(products!$A$1:$G$49,MATCH(orders!$D305,products!$A$1:$A$49,0),MATCH(orders!K$1,products!$A$1:$G$1,0))</f>
        <v>2.5</v>
      </c>
      <c r="L305" s="7">
        <f>INDEX(products!$A$1:$G$49,MATCH(orders!$D305,products!$A$1:$A$49,0),MATCH(orders!L$1,products!$A$1:$G$1,0))</f>
        <v>27.945</v>
      </c>
      <c r="M305" s="7">
        <f t="shared" si="12"/>
        <v>111.78</v>
      </c>
      <c r="N305" t="str">
        <f t="shared" si="13"/>
        <v>Excelsa</v>
      </c>
      <c r="O305" t="str">
        <f t="shared" si="14"/>
        <v>Dark</v>
      </c>
      <c r="P305" t="str">
        <f>_xlfn.XLOOKUP(Table1[[#This Row],[Customer ID]],customers!$A$1:$A$1001,customers!$I$1:$I$1001,,0)</f>
        <v>Yes</v>
      </c>
    </row>
    <row r="306" spans="1:16" x14ac:dyDescent="0.2">
      <c r="A306" s="2" t="s">
        <v>2204</v>
      </c>
      <c r="B306" s="3">
        <v>43828</v>
      </c>
      <c r="C306" s="2" t="s">
        <v>2245</v>
      </c>
      <c r="D306" t="s">
        <v>6167</v>
      </c>
      <c r="E306" s="2">
        <v>1</v>
      </c>
      <c r="F306" s="2" t="str">
        <f>_xlfn.XLOOKUP(C306,customers!$A305:$A1305,customers!$B305:$B1305,,0)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5">
        <f>INDEX(products!$A$1:$G$49,MATCH(orders!$D306,products!$A$1:$A$49,0),MATCH(orders!K$1,products!$A$1:$G$1,0))</f>
        <v>0.2</v>
      </c>
      <c r="L306" s="7">
        <f>INDEX(products!$A$1:$G$49,MATCH(orders!$D306,products!$A$1:$A$49,0),MATCH(orders!L$1,products!$A$1:$G$1,0))</f>
        <v>3.8849999999999998</v>
      </c>
      <c r="M306" s="7">
        <f t="shared" si="12"/>
        <v>3.8849999999999998</v>
      </c>
      <c r="N306" t="str">
        <f t="shared" si="13"/>
        <v>Arabica</v>
      </c>
      <c r="O306" t="str">
        <f t="shared" si="14"/>
        <v>Light</v>
      </c>
      <c r="P306" t="str">
        <f>_xlfn.XLOOKUP(Table1[[#This Row],[Customer ID]],customers!$A$1:$A$1001,customers!$I$1:$I$1001,,0)</f>
        <v>Yes</v>
      </c>
    </row>
    <row r="307" spans="1:16" x14ac:dyDescent="0.2">
      <c r="A307" s="2" t="s">
        <v>2209</v>
      </c>
      <c r="B307" s="3">
        <v>43796</v>
      </c>
      <c r="C307" s="2" t="s">
        <v>2210</v>
      </c>
      <c r="D307" t="s">
        <v>6159</v>
      </c>
      <c r="E307" s="2">
        <v>5</v>
      </c>
      <c r="F307" s="2" t="str">
        <f>_xlfn.XLOOKUP(C307,customers!$A306:$A1306,customers!$B306:$B1306,,0)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5">
        <f>INDEX(products!$A$1:$G$49,MATCH(orders!$D307,products!$A$1:$A$49,0),MATCH(orders!K$1,products!$A$1:$G$1,0))</f>
        <v>0.2</v>
      </c>
      <c r="L307" s="7">
        <f>INDEX(products!$A$1:$G$49,MATCH(orders!$D307,products!$A$1:$A$49,0),MATCH(orders!L$1,products!$A$1:$G$1,0))</f>
        <v>4.3650000000000002</v>
      </c>
      <c r="M307" s="7">
        <f t="shared" si="12"/>
        <v>21.825000000000003</v>
      </c>
      <c r="N307" t="str">
        <f t="shared" si="13"/>
        <v>Liberica</v>
      </c>
      <c r="O307" t="str">
        <f t="shared" si="14"/>
        <v>Medium</v>
      </c>
      <c r="P307" t="str">
        <f>_xlfn.XLOOKUP(Table1[[#This Row],[Customer ID]],customers!$A$1:$A$1001,customers!$I$1:$I$1001,,0)</f>
        <v>No</v>
      </c>
    </row>
    <row r="308" spans="1:16" x14ac:dyDescent="0.2">
      <c r="A308" s="2" t="s">
        <v>2215</v>
      </c>
      <c r="B308" s="3">
        <v>43890</v>
      </c>
      <c r="C308" s="2" t="s">
        <v>2216</v>
      </c>
      <c r="D308" t="s">
        <v>6174</v>
      </c>
      <c r="E308" s="2">
        <v>5</v>
      </c>
      <c r="F308" s="2" t="str">
        <f>_xlfn.XLOOKUP(C308,customers!$A307:$A1307,customers!$B307:$B1307,,0)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5">
        <f>INDEX(products!$A$1:$G$49,MATCH(orders!$D308,products!$A$1:$A$49,0),MATCH(orders!K$1,products!$A$1:$G$1,0))</f>
        <v>0.2</v>
      </c>
      <c r="L308" s="7">
        <f>INDEX(products!$A$1:$G$49,MATCH(orders!$D308,products!$A$1:$A$49,0),MATCH(orders!L$1,products!$A$1:$G$1,0))</f>
        <v>2.9849999999999999</v>
      </c>
      <c r="M308" s="7">
        <f t="shared" si="12"/>
        <v>14.924999999999999</v>
      </c>
      <c r="N308" t="str">
        <f t="shared" si="13"/>
        <v>Robusta</v>
      </c>
      <c r="O308" t="str">
        <f t="shared" si="14"/>
        <v>Medium</v>
      </c>
      <c r="P308" t="str">
        <f>_xlfn.XLOOKUP(Table1[[#This Row],[Customer ID]],customers!$A$1:$A$1001,customers!$I$1:$I$1001,,0)</f>
        <v>No</v>
      </c>
    </row>
    <row r="309" spans="1:16" x14ac:dyDescent="0.2">
      <c r="A309" s="2" t="s">
        <v>2221</v>
      </c>
      <c r="B309" s="3">
        <v>44227</v>
      </c>
      <c r="C309" s="2" t="s">
        <v>2222</v>
      </c>
      <c r="D309" t="s">
        <v>6155</v>
      </c>
      <c r="E309" s="2">
        <v>3</v>
      </c>
      <c r="F309" s="2" t="str">
        <f>_xlfn.XLOOKUP(C309,customers!$A308:$A1308,customers!$B308:$B1308,,0)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5">
        <f>INDEX(products!$A$1:$G$49,MATCH(orders!$D309,products!$A$1:$A$49,0),MATCH(orders!K$1,products!$A$1:$G$1,0))</f>
        <v>1</v>
      </c>
      <c r="L309" s="7">
        <f>INDEX(products!$A$1:$G$49,MATCH(orders!$D309,products!$A$1:$A$49,0),MATCH(orders!L$1,products!$A$1:$G$1,0))</f>
        <v>11.25</v>
      </c>
      <c r="M309" s="7">
        <f t="shared" si="12"/>
        <v>33.75</v>
      </c>
      <c r="N309" t="str">
        <f t="shared" si="13"/>
        <v>Arabica</v>
      </c>
      <c r="O309" t="str">
        <f t="shared" si="14"/>
        <v>Medium</v>
      </c>
      <c r="P309" t="str">
        <f>_xlfn.XLOOKUP(Table1[[#This Row],[Customer ID]],customers!$A$1:$A$1001,customers!$I$1:$I$1001,,0)</f>
        <v>Yes</v>
      </c>
    </row>
    <row r="310" spans="1:16" x14ac:dyDescent="0.2">
      <c r="A310" s="2" t="s">
        <v>2227</v>
      </c>
      <c r="B310" s="3">
        <v>44729</v>
      </c>
      <c r="C310" s="2" t="s">
        <v>2228</v>
      </c>
      <c r="D310" t="s">
        <v>6155</v>
      </c>
      <c r="E310" s="2">
        <v>3</v>
      </c>
      <c r="F310" s="2" t="str">
        <f>_xlfn.XLOOKUP(C310,customers!$A309:$A1309,customers!$B309:$B1309,,0)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5">
        <f>INDEX(products!$A$1:$G$49,MATCH(orders!$D310,products!$A$1:$A$49,0),MATCH(orders!K$1,products!$A$1:$G$1,0))</f>
        <v>1</v>
      </c>
      <c r="L310" s="7">
        <f>INDEX(products!$A$1:$G$49,MATCH(orders!$D310,products!$A$1:$A$49,0),MATCH(orders!L$1,products!$A$1:$G$1,0))</f>
        <v>11.25</v>
      </c>
      <c r="M310" s="7">
        <f t="shared" si="12"/>
        <v>33.75</v>
      </c>
      <c r="N310" t="str">
        <f t="shared" si="13"/>
        <v>Arabica</v>
      </c>
      <c r="O310" t="str">
        <f t="shared" si="14"/>
        <v>Medium</v>
      </c>
      <c r="P310" t="str">
        <f>_xlfn.XLOOKUP(Table1[[#This Row],[Customer ID]],customers!$A$1:$A$1001,customers!$I$1:$I$1001,,0)</f>
        <v>No</v>
      </c>
    </row>
    <row r="311" spans="1:16" x14ac:dyDescent="0.2">
      <c r="A311" s="2" t="s">
        <v>2232</v>
      </c>
      <c r="B311" s="3">
        <v>43864</v>
      </c>
      <c r="C311" s="2" t="s">
        <v>2233</v>
      </c>
      <c r="D311" t="s">
        <v>6159</v>
      </c>
      <c r="E311" s="2">
        <v>6</v>
      </c>
      <c r="F311" s="2" t="str">
        <f>_xlfn.XLOOKUP(C311,customers!$A310:$A1310,customers!$B310:$B1310,,0)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5">
        <f>INDEX(products!$A$1:$G$49,MATCH(orders!$D311,products!$A$1:$A$49,0),MATCH(orders!K$1,products!$A$1:$G$1,0))</f>
        <v>0.2</v>
      </c>
      <c r="L311" s="7">
        <f>INDEX(products!$A$1:$G$49,MATCH(orders!$D311,products!$A$1:$A$49,0),MATCH(orders!L$1,products!$A$1:$G$1,0))</f>
        <v>4.3650000000000002</v>
      </c>
      <c r="M311" s="7">
        <f t="shared" si="12"/>
        <v>26.19</v>
      </c>
      <c r="N311" t="str">
        <f t="shared" si="13"/>
        <v>Liberica</v>
      </c>
      <c r="O311" t="str">
        <f t="shared" si="14"/>
        <v>Medium</v>
      </c>
      <c r="P311" t="str">
        <f>_xlfn.XLOOKUP(Table1[[#This Row],[Customer ID]],customers!$A$1:$A$1001,customers!$I$1:$I$1001,,0)</f>
        <v>Yes</v>
      </c>
    </row>
    <row r="312" spans="1:16" x14ac:dyDescent="0.2">
      <c r="A312" s="2" t="s">
        <v>2238</v>
      </c>
      <c r="B312" s="3">
        <v>44586</v>
      </c>
      <c r="C312" s="2" t="s">
        <v>2239</v>
      </c>
      <c r="D312" t="s">
        <v>6171</v>
      </c>
      <c r="E312" s="2">
        <v>1</v>
      </c>
      <c r="F312" s="2" t="str">
        <f>_xlfn.XLOOKUP(C312,customers!$A311:$A1311,customers!$B311:$B1311,,0)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5">
        <f>INDEX(products!$A$1:$G$49,MATCH(orders!$D312,products!$A$1:$A$49,0),MATCH(orders!K$1,products!$A$1:$G$1,0))</f>
        <v>1</v>
      </c>
      <c r="L312" s="7">
        <f>INDEX(products!$A$1:$G$49,MATCH(orders!$D312,products!$A$1:$A$49,0),MATCH(orders!L$1,products!$A$1:$G$1,0))</f>
        <v>14.85</v>
      </c>
      <c r="M312" s="7">
        <f t="shared" si="12"/>
        <v>14.85</v>
      </c>
      <c r="N312" t="str">
        <f t="shared" si="13"/>
        <v>Excelsa</v>
      </c>
      <c r="O312" t="str">
        <f t="shared" si="14"/>
        <v>Light</v>
      </c>
      <c r="P312" t="str">
        <f>_xlfn.XLOOKUP(Table1[[#This Row],[Customer ID]],customers!$A$1:$A$1001,customers!$I$1:$I$1001,,0)</f>
        <v>No</v>
      </c>
    </row>
    <row r="313" spans="1:16" x14ac:dyDescent="0.2">
      <c r="A313" s="2" t="s">
        <v>2244</v>
      </c>
      <c r="B313" s="3">
        <v>43951</v>
      </c>
      <c r="C313" s="2" t="s">
        <v>2245</v>
      </c>
      <c r="D313" t="s">
        <v>6166</v>
      </c>
      <c r="E313" s="2">
        <v>6</v>
      </c>
      <c r="F313" s="2" t="str">
        <f>_xlfn.XLOOKUP(C313,customers!$A312:$A1312,customers!$B312:$B1312,,0)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5">
        <f>INDEX(products!$A$1:$G$49,MATCH(orders!$D313,products!$A$1:$A$49,0),MATCH(orders!K$1,products!$A$1:$G$1,0))</f>
        <v>2.5</v>
      </c>
      <c r="L313" s="7">
        <f>INDEX(products!$A$1:$G$49,MATCH(orders!$D313,products!$A$1:$A$49,0),MATCH(orders!L$1,products!$A$1:$G$1,0))</f>
        <v>31.624999999999996</v>
      </c>
      <c r="M313" s="7">
        <f t="shared" si="12"/>
        <v>189.74999999999997</v>
      </c>
      <c r="N313" t="str">
        <f t="shared" si="13"/>
        <v>Excelsa</v>
      </c>
      <c r="O313" t="str">
        <f t="shared" si="14"/>
        <v>Medium</v>
      </c>
      <c r="P313" t="str">
        <f>_xlfn.XLOOKUP(Table1[[#This Row],[Customer ID]],customers!$A$1:$A$1001,customers!$I$1:$I$1001,,0)</f>
        <v>Yes</v>
      </c>
    </row>
    <row r="314" spans="1:16" x14ac:dyDescent="0.2">
      <c r="A314" s="2" t="s">
        <v>2250</v>
      </c>
      <c r="B314" s="3">
        <v>44317</v>
      </c>
      <c r="C314" s="2" t="s">
        <v>2251</v>
      </c>
      <c r="D314" t="s">
        <v>6146</v>
      </c>
      <c r="E314" s="2">
        <v>1</v>
      </c>
      <c r="F314" s="2" t="str">
        <f>_xlfn.XLOOKUP(C314,customers!$A313:$A1313,customers!$B313:$B1313,,0)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5">
        <f>INDEX(products!$A$1:$G$49,MATCH(orders!$D314,products!$A$1:$A$49,0),MATCH(orders!K$1,products!$A$1:$G$1,0))</f>
        <v>0.5</v>
      </c>
      <c r="L314" s="7">
        <f>INDEX(products!$A$1:$G$49,MATCH(orders!$D314,products!$A$1:$A$49,0),MATCH(orders!L$1,products!$A$1:$G$1,0))</f>
        <v>5.97</v>
      </c>
      <c r="M314" s="7">
        <f t="shared" si="12"/>
        <v>5.97</v>
      </c>
      <c r="N314" t="str">
        <f t="shared" si="13"/>
        <v>Robusta</v>
      </c>
      <c r="O314" t="str">
        <f t="shared" si="14"/>
        <v>Medium</v>
      </c>
      <c r="P314" t="str">
        <f>_xlfn.XLOOKUP(Table1[[#This Row],[Customer ID]],customers!$A$1:$A$1001,customers!$I$1:$I$1001,,0)</f>
        <v>Yes</v>
      </c>
    </row>
    <row r="315" spans="1:16" x14ac:dyDescent="0.2">
      <c r="A315" s="2" t="s">
        <v>2256</v>
      </c>
      <c r="B315" s="3">
        <v>44497</v>
      </c>
      <c r="C315" s="2" t="s">
        <v>2257</v>
      </c>
      <c r="D315" t="s">
        <v>6138</v>
      </c>
      <c r="E315" s="2">
        <v>3</v>
      </c>
      <c r="F315" s="2" t="str">
        <f>_xlfn.XLOOKUP(C315,customers!$A314:$A1314,customers!$B314:$B1314,,0)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5">
        <f>INDEX(products!$A$1:$G$49,MATCH(orders!$D315,products!$A$1:$A$49,0),MATCH(orders!K$1,products!$A$1:$G$1,0))</f>
        <v>1</v>
      </c>
      <c r="L315" s="7">
        <f>INDEX(products!$A$1:$G$49,MATCH(orders!$D315,products!$A$1:$A$49,0),MATCH(orders!L$1,products!$A$1:$G$1,0))</f>
        <v>9.9499999999999993</v>
      </c>
      <c r="M315" s="7">
        <f t="shared" si="12"/>
        <v>29.849999999999998</v>
      </c>
      <c r="N315" t="str">
        <f t="shared" si="13"/>
        <v>Robusta</v>
      </c>
      <c r="O315" t="str">
        <f t="shared" si="14"/>
        <v>Medium</v>
      </c>
      <c r="P315" t="str">
        <f>_xlfn.XLOOKUP(Table1[[#This Row],[Customer ID]],customers!$A$1:$A$1001,customers!$I$1:$I$1001,,0)</f>
        <v>Yes</v>
      </c>
    </row>
    <row r="316" spans="1:16" x14ac:dyDescent="0.2">
      <c r="A316" s="2" t="s">
        <v>2262</v>
      </c>
      <c r="B316" s="3">
        <v>44437</v>
      </c>
      <c r="C316" s="2" t="s">
        <v>2263</v>
      </c>
      <c r="D316" t="s">
        <v>6177</v>
      </c>
      <c r="E316" s="2">
        <v>5</v>
      </c>
      <c r="F316" s="2" t="str">
        <f>_xlfn.XLOOKUP(C316,customers!$A315:$A1315,customers!$B315:$B1315,,0)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5">
        <f>INDEX(products!$A$1:$G$49,MATCH(orders!$D316,products!$A$1:$A$49,0),MATCH(orders!K$1,products!$A$1:$G$1,0))</f>
        <v>1</v>
      </c>
      <c r="L316" s="7">
        <f>INDEX(products!$A$1:$G$49,MATCH(orders!$D316,products!$A$1:$A$49,0),MATCH(orders!L$1,products!$A$1:$G$1,0))</f>
        <v>8.9499999999999993</v>
      </c>
      <c r="M316" s="7">
        <f t="shared" si="12"/>
        <v>44.75</v>
      </c>
      <c r="N316" t="str">
        <f t="shared" si="13"/>
        <v>Robusta</v>
      </c>
      <c r="O316" t="str">
        <f t="shared" si="14"/>
        <v>Dark</v>
      </c>
      <c r="P316" t="str">
        <f>_xlfn.XLOOKUP(Table1[[#This Row],[Customer ID]],customers!$A$1:$A$1001,customers!$I$1:$I$1001,,0)</f>
        <v>No</v>
      </c>
    </row>
    <row r="317" spans="1:16" x14ac:dyDescent="0.2">
      <c r="A317" s="2" t="s">
        <v>2267</v>
      </c>
      <c r="B317" s="3">
        <v>43826</v>
      </c>
      <c r="C317" s="2" t="s">
        <v>2268</v>
      </c>
      <c r="D317" t="s">
        <v>6148</v>
      </c>
      <c r="E317" s="2">
        <v>1</v>
      </c>
      <c r="F317" s="2" t="str">
        <f>_xlfn.XLOOKUP(C317,customers!$A316:$A1316,customers!$B316:$B1316,,0)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5">
        <f>INDEX(products!$A$1:$G$49,MATCH(orders!$D317,products!$A$1:$A$49,0),MATCH(orders!K$1,products!$A$1:$G$1,0))</f>
        <v>2.5</v>
      </c>
      <c r="L317" s="7">
        <f>INDEX(products!$A$1:$G$49,MATCH(orders!$D317,products!$A$1:$A$49,0),MATCH(orders!L$1,products!$A$1:$G$1,0))</f>
        <v>34.154999999999994</v>
      </c>
      <c r="M317" s="7">
        <f t="shared" si="12"/>
        <v>34.154999999999994</v>
      </c>
      <c r="N317" t="str">
        <f t="shared" si="13"/>
        <v>Excelsa</v>
      </c>
      <c r="O317" t="str">
        <f t="shared" si="14"/>
        <v>Light</v>
      </c>
      <c r="P317" t="str">
        <f>_xlfn.XLOOKUP(Table1[[#This Row],[Customer ID]],customers!$A$1:$A$1001,customers!$I$1:$I$1001,,0)</f>
        <v>Yes</v>
      </c>
    </row>
    <row r="318" spans="1:16" x14ac:dyDescent="0.2">
      <c r="A318" s="2" t="s">
        <v>2273</v>
      </c>
      <c r="B318" s="3">
        <v>43641</v>
      </c>
      <c r="C318" s="2" t="s">
        <v>2274</v>
      </c>
      <c r="D318" t="s">
        <v>6148</v>
      </c>
      <c r="E318" s="2">
        <v>6</v>
      </c>
      <c r="F318" s="2" t="str">
        <f>_xlfn.XLOOKUP(C318,customers!$A317:$A1317,customers!$B317:$B1317,,0)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5">
        <f>INDEX(products!$A$1:$G$49,MATCH(orders!$D318,products!$A$1:$A$49,0),MATCH(orders!K$1,products!$A$1:$G$1,0))</f>
        <v>2.5</v>
      </c>
      <c r="L318" s="7">
        <f>INDEX(products!$A$1:$G$49,MATCH(orders!$D318,products!$A$1:$A$49,0),MATCH(orders!L$1,products!$A$1:$G$1,0))</f>
        <v>34.154999999999994</v>
      </c>
      <c r="M318" s="7">
        <f t="shared" si="12"/>
        <v>204.92999999999995</v>
      </c>
      <c r="N318" t="str">
        <f t="shared" si="13"/>
        <v>Excelsa</v>
      </c>
      <c r="O318" t="str">
        <f t="shared" si="14"/>
        <v>Light</v>
      </c>
      <c r="P318" t="str">
        <f>_xlfn.XLOOKUP(Table1[[#This Row],[Customer ID]],customers!$A$1:$A$1001,customers!$I$1:$I$1001,,0)</f>
        <v>No</v>
      </c>
    </row>
    <row r="319" spans="1:16" x14ac:dyDescent="0.2">
      <c r="A319" s="2" t="s">
        <v>2279</v>
      </c>
      <c r="B319" s="3">
        <v>43526</v>
      </c>
      <c r="C319" s="2" t="s">
        <v>2280</v>
      </c>
      <c r="D319" t="s">
        <v>6144</v>
      </c>
      <c r="E319" s="2">
        <v>3</v>
      </c>
      <c r="F319" s="2" t="str">
        <f>_xlfn.XLOOKUP(C319,customers!$A318:$A1318,customers!$B318:$B1318,,0)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5">
        <f>INDEX(products!$A$1:$G$49,MATCH(orders!$D319,products!$A$1:$A$49,0),MATCH(orders!K$1,products!$A$1:$G$1,0))</f>
        <v>0.5</v>
      </c>
      <c r="L319" s="7">
        <f>INDEX(products!$A$1:$G$49,MATCH(orders!$D319,products!$A$1:$A$49,0),MATCH(orders!L$1,products!$A$1:$G$1,0))</f>
        <v>7.29</v>
      </c>
      <c r="M319" s="7">
        <f t="shared" si="12"/>
        <v>21.87</v>
      </c>
      <c r="N319" t="str">
        <f t="shared" si="13"/>
        <v>Excelsa</v>
      </c>
      <c r="O319" t="str">
        <f t="shared" si="14"/>
        <v>Dark</v>
      </c>
      <c r="P319" t="str">
        <f>_xlfn.XLOOKUP(Table1[[#This Row],[Customer ID]],customers!$A$1:$A$1001,customers!$I$1:$I$1001,,0)</f>
        <v>No</v>
      </c>
    </row>
    <row r="320" spans="1:16" x14ac:dyDescent="0.2">
      <c r="A320" s="2" t="s">
        <v>2285</v>
      </c>
      <c r="B320" s="3">
        <v>44563</v>
      </c>
      <c r="C320" s="2" t="s">
        <v>2286</v>
      </c>
      <c r="D320" t="s">
        <v>6175</v>
      </c>
      <c r="E320" s="2">
        <v>2</v>
      </c>
      <c r="F320" s="2" t="str">
        <f>_xlfn.XLOOKUP(C320,customers!$A319:$A1319,customers!$B319:$B1319,,0)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5">
        <f>INDEX(products!$A$1:$G$49,MATCH(orders!$D320,products!$A$1:$A$49,0),MATCH(orders!K$1,products!$A$1:$G$1,0))</f>
        <v>2.5</v>
      </c>
      <c r="L320" s="7">
        <f>INDEX(products!$A$1:$G$49,MATCH(orders!$D320,products!$A$1:$A$49,0),MATCH(orders!L$1,products!$A$1:$G$1,0))</f>
        <v>25.874999999999996</v>
      </c>
      <c r="M320" s="7">
        <f t="shared" si="12"/>
        <v>51.749999999999993</v>
      </c>
      <c r="N320" t="str">
        <f t="shared" si="13"/>
        <v>Arabica</v>
      </c>
      <c r="O320" t="str">
        <f t="shared" si="14"/>
        <v>Medium</v>
      </c>
      <c r="P320" t="str">
        <f>_xlfn.XLOOKUP(Table1[[#This Row],[Customer ID]],customers!$A$1:$A$1001,customers!$I$1:$I$1001,,0)</f>
        <v>Yes</v>
      </c>
    </row>
    <row r="321" spans="1:16" x14ac:dyDescent="0.2">
      <c r="A321" s="2" t="s">
        <v>2291</v>
      </c>
      <c r="B321" s="3">
        <v>43676</v>
      </c>
      <c r="C321" s="2" t="s">
        <v>2292</v>
      </c>
      <c r="D321" t="s">
        <v>6156</v>
      </c>
      <c r="E321" s="2">
        <v>2</v>
      </c>
      <c r="F321" s="2" t="str">
        <f>_xlfn.XLOOKUP(C321,customers!$A320:$A1320,customers!$B320:$B1320,,0)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5">
        <f>INDEX(products!$A$1:$G$49,MATCH(orders!$D321,products!$A$1:$A$49,0),MATCH(orders!K$1,products!$A$1:$G$1,0))</f>
        <v>0.2</v>
      </c>
      <c r="L321" s="7">
        <f>INDEX(products!$A$1:$G$49,MATCH(orders!$D321,products!$A$1:$A$49,0),MATCH(orders!L$1,products!$A$1:$G$1,0))</f>
        <v>4.125</v>
      </c>
      <c r="M321" s="7">
        <f t="shared" si="12"/>
        <v>8.25</v>
      </c>
      <c r="N321" t="str">
        <f t="shared" si="13"/>
        <v>Excelsa</v>
      </c>
      <c r="O321" t="str">
        <f t="shared" si="14"/>
        <v>Medium</v>
      </c>
      <c r="P321" t="str">
        <f>_xlfn.XLOOKUP(Table1[[#This Row],[Customer ID]],customers!$A$1:$A$1001,customers!$I$1:$I$1001,,0)</f>
        <v>Yes</v>
      </c>
    </row>
    <row r="322" spans="1:16" x14ac:dyDescent="0.2">
      <c r="A322" s="2" t="s">
        <v>2291</v>
      </c>
      <c r="B322" s="3">
        <v>43676</v>
      </c>
      <c r="C322" s="2" t="s">
        <v>2292</v>
      </c>
      <c r="D322" t="s">
        <v>6167</v>
      </c>
      <c r="E322" s="2">
        <v>5</v>
      </c>
      <c r="F322" s="2" t="str">
        <f>_xlfn.XLOOKUP(C322,customers!$A321:$A1321,customers!$B321:$B1321,,0)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5">
        <f>INDEX(products!$A$1:$G$49,MATCH(orders!$D322,products!$A$1:$A$49,0),MATCH(orders!K$1,products!$A$1:$G$1,0))</f>
        <v>0.2</v>
      </c>
      <c r="L322" s="7">
        <f>INDEX(products!$A$1:$G$49,MATCH(orders!$D322,products!$A$1:$A$49,0),MATCH(orders!L$1,products!$A$1:$G$1,0))</f>
        <v>3.8849999999999998</v>
      </c>
      <c r="M322" s="7">
        <f t="shared" si="12"/>
        <v>19.424999999999997</v>
      </c>
      <c r="N322" t="str">
        <f t="shared" si="13"/>
        <v>Arabica</v>
      </c>
      <c r="O322" t="str">
        <f t="shared" si="14"/>
        <v>Light</v>
      </c>
      <c r="P322" t="str">
        <f>_xlfn.XLOOKUP(Table1[[#This Row],[Customer ID]],customers!$A$1:$A$1001,customers!$I$1:$I$1001,,0)</f>
        <v>Yes</v>
      </c>
    </row>
    <row r="323" spans="1:16" x14ac:dyDescent="0.2">
      <c r="A323" s="2" t="s">
        <v>2301</v>
      </c>
      <c r="B323" s="3">
        <v>44170</v>
      </c>
      <c r="C323" s="2" t="s">
        <v>2302</v>
      </c>
      <c r="D323" t="s">
        <v>6152</v>
      </c>
      <c r="E323" s="2">
        <v>6</v>
      </c>
      <c r="F323" s="2" t="str">
        <f>_xlfn.XLOOKUP(C323,customers!$A322:$A1322,customers!$B322:$B1322,,0)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5">
        <f>INDEX(products!$A$1:$G$49,MATCH(orders!$D323,products!$A$1:$A$49,0),MATCH(orders!K$1,products!$A$1:$G$1,0))</f>
        <v>0.2</v>
      </c>
      <c r="L323" s="7">
        <f>INDEX(products!$A$1:$G$49,MATCH(orders!$D323,products!$A$1:$A$49,0),MATCH(orders!L$1,products!$A$1:$G$1,0))</f>
        <v>3.375</v>
      </c>
      <c r="M323" s="7">
        <f t="shared" ref="M323:M386" si="15">L323*E323</f>
        <v>20.25</v>
      </c>
      <c r="N323" t="str">
        <f t="shared" ref="N323:N386" si="16">IF(I323="Rob","Robusta",IF(I323="Ara","Arabica",IF(I323="Exc","Excelsa",IF(I323="Lib","Liberica",""))))</f>
        <v>Arabica</v>
      </c>
      <c r="O323" t="str">
        <f t="shared" ref="O323:O386" si="17">IF(J323="M","Medium",IF(J323="L","Light",IF(J323="D","Dark","")))</f>
        <v>Medium</v>
      </c>
      <c r="P323" t="str">
        <f>_xlfn.XLOOKUP(Table1[[#This Row],[Customer ID]],customers!$A$1:$A$1001,customers!$I$1:$I$1001,,0)</f>
        <v>Yes</v>
      </c>
    </row>
    <row r="324" spans="1:16" x14ac:dyDescent="0.2">
      <c r="A324" s="2" t="s">
        <v>2307</v>
      </c>
      <c r="B324" s="3">
        <v>44182</v>
      </c>
      <c r="C324" s="2" t="s">
        <v>2308</v>
      </c>
      <c r="D324" t="s">
        <v>6169</v>
      </c>
      <c r="E324" s="2">
        <v>3</v>
      </c>
      <c r="F324" s="2" t="str">
        <f>_xlfn.XLOOKUP(C324,customers!$A323:$A1323,customers!$B323:$B1323,,0)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5">
        <f>INDEX(products!$A$1:$G$49,MATCH(orders!$D324,products!$A$1:$A$49,0),MATCH(orders!K$1,products!$A$1:$G$1,0))</f>
        <v>0.5</v>
      </c>
      <c r="L324" s="7">
        <f>INDEX(products!$A$1:$G$49,MATCH(orders!$D324,products!$A$1:$A$49,0),MATCH(orders!L$1,products!$A$1:$G$1,0))</f>
        <v>7.77</v>
      </c>
      <c r="M324" s="7">
        <f t="shared" si="15"/>
        <v>23.31</v>
      </c>
      <c r="N324" t="str">
        <f t="shared" si="16"/>
        <v>Liberica</v>
      </c>
      <c r="O324" t="str">
        <f t="shared" si="17"/>
        <v>Dark</v>
      </c>
      <c r="P324" t="str">
        <f>_xlfn.XLOOKUP(Table1[[#This Row],[Customer ID]],customers!$A$1:$A$1001,customers!$I$1:$I$1001,,0)</f>
        <v>No</v>
      </c>
    </row>
    <row r="325" spans="1:16" x14ac:dyDescent="0.2">
      <c r="A325" s="2" t="s">
        <v>2313</v>
      </c>
      <c r="B325" s="3">
        <v>44373</v>
      </c>
      <c r="C325" s="2" t="s">
        <v>2314</v>
      </c>
      <c r="D325" t="s">
        <v>6153</v>
      </c>
      <c r="E325" s="2">
        <v>5</v>
      </c>
      <c r="F325" s="2" t="str">
        <f>_xlfn.XLOOKUP(C325,customers!$A324:$A1324,customers!$B324:$B1324,,0)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5">
        <f>INDEX(products!$A$1:$G$49,MATCH(orders!$D325,products!$A$1:$A$49,0),MATCH(orders!K$1,products!$A$1:$G$1,0))</f>
        <v>0.2</v>
      </c>
      <c r="L325" s="7">
        <f>INDEX(products!$A$1:$G$49,MATCH(orders!$D325,products!$A$1:$A$49,0),MATCH(orders!L$1,products!$A$1:$G$1,0))</f>
        <v>3.645</v>
      </c>
      <c r="M325" s="7">
        <f t="shared" si="15"/>
        <v>18.225000000000001</v>
      </c>
      <c r="N325" t="str">
        <f t="shared" si="16"/>
        <v>Excelsa</v>
      </c>
      <c r="O325" t="str">
        <f t="shared" si="17"/>
        <v>Dark</v>
      </c>
      <c r="P325" t="str">
        <f>_xlfn.XLOOKUP(Table1[[#This Row],[Customer ID]],customers!$A$1:$A$1001,customers!$I$1:$I$1001,,0)</f>
        <v>Yes</v>
      </c>
    </row>
    <row r="326" spans="1:16" x14ac:dyDescent="0.2">
      <c r="A326" s="2" t="s">
        <v>2319</v>
      </c>
      <c r="B326" s="3">
        <v>43666</v>
      </c>
      <c r="C326" s="2" t="s">
        <v>2320</v>
      </c>
      <c r="D326" t="s">
        <v>6141</v>
      </c>
      <c r="E326" s="2">
        <v>1</v>
      </c>
      <c r="F326" s="2" t="str">
        <f>_xlfn.XLOOKUP(C326,customers!$A325:$A1325,customers!$B325:$B1325,,0)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5">
        <f>INDEX(products!$A$1:$G$49,MATCH(orders!$D326,products!$A$1:$A$49,0),MATCH(orders!K$1,products!$A$1:$G$1,0))</f>
        <v>1</v>
      </c>
      <c r="L326" s="7">
        <f>INDEX(products!$A$1:$G$49,MATCH(orders!$D326,products!$A$1:$A$49,0),MATCH(orders!L$1,products!$A$1:$G$1,0))</f>
        <v>13.75</v>
      </c>
      <c r="M326" s="7">
        <f t="shared" si="15"/>
        <v>13.75</v>
      </c>
      <c r="N326" t="str">
        <f t="shared" si="16"/>
        <v>Excelsa</v>
      </c>
      <c r="O326" t="str">
        <f t="shared" si="17"/>
        <v>Medium</v>
      </c>
      <c r="P326" t="str">
        <f>_xlfn.XLOOKUP(Table1[[#This Row],[Customer ID]],customers!$A$1:$A$1001,customers!$I$1:$I$1001,,0)</f>
        <v>No</v>
      </c>
    </row>
    <row r="327" spans="1:16" x14ac:dyDescent="0.2">
      <c r="A327" s="2" t="s">
        <v>2324</v>
      </c>
      <c r="B327" s="3">
        <v>44756</v>
      </c>
      <c r="C327" s="2" t="s">
        <v>2325</v>
      </c>
      <c r="D327" t="s">
        <v>6182</v>
      </c>
      <c r="E327" s="2">
        <v>1</v>
      </c>
      <c r="F327" s="2" t="str">
        <f>_xlfn.XLOOKUP(C327,customers!$A326:$A1326,customers!$B326:$B1326,,0)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5">
        <f>INDEX(products!$A$1:$G$49,MATCH(orders!$D327,products!$A$1:$A$49,0),MATCH(orders!K$1,products!$A$1:$G$1,0))</f>
        <v>2.5</v>
      </c>
      <c r="L327" s="7">
        <f>INDEX(products!$A$1:$G$49,MATCH(orders!$D327,products!$A$1:$A$49,0),MATCH(orders!L$1,products!$A$1:$G$1,0))</f>
        <v>29.784999999999997</v>
      </c>
      <c r="M327" s="7">
        <f t="shared" si="15"/>
        <v>29.784999999999997</v>
      </c>
      <c r="N327" t="str">
        <f t="shared" si="16"/>
        <v>Arabica</v>
      </c>
      <c r="O327" t="str">
        <f t="shared" si="17"/>
        <v>Light</v>
      </c>
      <c r="P327" t="str">
        <f>_xlfn.XLOOKUP(Table1[[#This Row],[Customer ID]],customers!$A$1:$A$1001,customers!$I$1:$I$1001,,0)</f>
        <v>Yes</v>
      </c>
    </row>
    <row r="328" spans="1:16" x14ac:dyDescent="0.2">
      <c r="A328" s="2" t="s">
        <v>2330</v>
      </c>
      <c r="B328" s="3">
        <v>44057</v>
      </c>
      <c r="C328" s="2" t="s">
        <v>2331</v>
      </c>
      <c r="D328" t="s">
        <v>6177</v>
      </c>
      <c r="E328" s="2">
        <v>5</v>
      </c>
      <c r="F328" s="2" t="str">
        <f>_xlfn.XLOOKUP(C328,customers!$A327:$A1327,customers!$B327:$B1327,,0)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5">
        <f>INDEX(products!$A$1:$G$49,MATCH(orders!$D328,products!$A$1:$A$49,0),MATCH(orders!K$1,products!$A$1:$G$1,0))</f>
        <v>1</v>
      </c>
      <c r="L328" s="7">
        <f>INDEX(products!$A$1:$G$49,MATCH(orders!$D328,products!$A$1:$A$49,0),MATCH(orders!L$1,products!$A$1:$G$1,0))</f>
        <v>8.9499999999999993</v>
      </c>
      <c r="M328" s="7">
        <f t="shared" si="15"/>
        <v>44.75</v>
      </c>
      <c r="N328" t="str">
        <f t="shared" si="16"/>
        <v>Robusta</v>
      </c>
      <c r="O328" t="str">
        <f t="shared" si="17"/>
        <v>Dark</v>
      </c>
      <c r="P328" t="str">
        <f>_xlfn.XLOOKUP(Table1[[#This Row],[Customer ID]],customers!$A$1:$A$1001,customers!$I$1:$I$1001,,0)</f>
        <v>No</v>
      </c>
    </row>
    <row r="329" spans="1:16" x14ac:dyDescent="0.2">
      <c r="A329" s="2" t="s">
        <v>2335</v>
      </c>
      <c r="B329" s="3">
        <v>43579</v>
      </c>
      <c r="C329" s="2" t="s">
        <v>2336</v>
      </c>
      <c r="D329" t="s">
        <v>6177</v>
      </c>
      <c r="E329" s="2">
        <v>5</v>
      </c>
      <c r="F329" s="2" t="str">
        <f>_xlfn.XLOOKUP(C329,customers!$A328:$A1328,customers!$B328:$B1328,,0)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5">
        <f>INDEX(products!$A$1:$G$49,MATCH(orders!$D329,products!$A$1:$A$49,0),MATCH(orders!K$1,products!$A$1:$G$1,0))</f>
        <v>1</v>
      </c>
      <c r="L329" s="7">
        <f>INDEX(products!$A$1:$G$49,MATCH(orders!$D329,products!$A$1:$A$49,0),MATCH(orders!L$1,products!$A$1:$G$1,0))</f>
        <v>8.9499999999999993</v>
      </c>
      <c r="M329" s="7">
        <f t="shared" si="15"/>
        <v>44.75</v>
      </c>
      <c r="N329" t="str">
        <f t="shared" si="16"/>
        <v>Robusta</v>
      </c>
      <c r="O329" t="str">
        <f t="shared" si="17"/>
        <v>Dark</v>
      </c>
      <c r="P329" t="str">
        <f>_xlfn.XLOOKUP(Table1[[#This Row],[Customer ID]],customers!$A$1:$A$1001,customers!$I$1:$I$1001,,0)</f>
        <v>Yes</v>
      </c>
    </row>
    <row r="330" spans="1:16" x14ac:dyDescent="0.2">
      <c r="A330" s="2" t="s">
        <v>2341</v>
      </c>
      <c r="B330" s="3">
        <v>43620</v>
      </c>
      <c r="C330" s="2" t="s">
        <v>2342</v>
      </c>
      <c r="D330" t="s">
        <v>6161</v>
      </c>
      <c r="E330" s="2">
        <v>4</v>
      </c>
      <c r="F330" s="2" t="str">
        <f>_xlfn.XLOOKUP(C330,customers!$A329:$A1329,customers!$B329:$B1329,,0)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5">
        <f>INDEX(products!$A$1:$G$49,MATCH(orders!$D330,products!$A$1:$A$49,0),MATCH(orders!K$1,products!$A$1:$G$1,0))</f>
        <v>0.5</v>
      </c>
      <c r="L330" s="7">
        <f>INDEX(products!$A$1:$G$49,MATCH(orders!$D330,products!$A$1:$A$49,0),MATCH(orders!L$1,products!$A$1:$G$1,0))</f>
        <v>9.51</v>
      </c>
      <c r="M330" s="7">
        <f t="shared" si="15"/>
        <v>38.04</v>
      </c>
      <c r="N330" t="str">
        <f t="shared" si="16"/>
        <v>Liberica</v>
      </c>
      <c r="O330" t="str">
        <f t="shared" si="17"/>
        <v>Light</v>
      </c>
      <c r="P330" t="str">
        <f>_xlfn.XLOOKUP(Table1[[#This Row],[Customer ID]],customers!$A$1:$A$1001,customers!$I$1:$I$1001,,0)</f>
        <v>Yes</v>
      </c>
    </row>
    <row r="331" spans="1:16" x14ac:dyDescent="0.2">
      <c r="A331" s="2" t="s">
        <v>2346</v>
      </c>
      <c r="B331" s="3">
        <v>44781</v>
      </c>
      <c r="C331" s="2" t="s">
        <v>2347</v>
      </c>
      <c r="D331" t="s">
        <v>6172</v>
      </c>
      <c r="E331" s="2">
        <v>4</v>
      </c>
      <c r="F331" s="2" t="str">
        <f>_xlfn.XLOOKUP(C331,customers!$A330:$A1330,customers!$B330:$B1330,,0)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5">
        <f>INDEX(products!$A$1:$G$49,MATCH(orders!$D331,products!$A$1:$A$49,0),MATCH(orders!K$1,products!$A$1:$G$1,0))</f>
        <v>0.5</v>
      </c>
      <c r="L331" s="7">
        <f>INDEX(products!$A$1:$G$49,MATCH(orders!$D331,products!$A$1:$A$49,0),MATCH(orders!L$1,products!$A$1:$G$1,0))</f>
        <v>5.3699999999999992</v>
      </c>
      <c r="M331" s="7">
        <f t="shared" si="15"/>
        <v>21.479999999999997</v>
      </c>
      <c r="N331" t="str">
        <f t="shared" si="16"/>
        <v>Robusta</v>
      </c>
      <c r="O331" t="str">
        <f t="shared" si="17"/>
        <v>Dark</v>
      </c>
      <c r="P331" t="str">
        <f>_xlfn.XLOOKUP(Table1[[#This Row],[Customer ID]],customers!$A$1:$A$1001,customers!$I$1:$I$1001,,0)</f>
        <v>Yes</v>
      </c>
    </row>
    <row r="332" spans="1:16" x14ac:dyDescent="0.2">
      <c r="A332" s="2" t="s">
        <v>2351</v>
      </c>
      <c r="B332" s="3">
        <v>43782</v>
      </c>
      <c r="C332" s="2" t="s">
        <v>2280</v>
      </c>
      <c r="D332" t="s">
        <v>6172</v>
      </c>
      <c r="E332" s="2">
        <v>3</v>
      </c>
      <c r="F332" s="2" t="e">
        <f>_xlfn.XLOOKUP(C332,customers!$A331:$A1331,customers!$B331:$B1331,,0)</f>
        <v>#N/A</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5">
        <f>INDEX(products!$A$1:$G$49,MATCH(orders!$D332,products!$A$1:$A$49,0),MATCH(orders!K$1,products!$A$1:$G$1,0))</f>
        <v>0.5</v>
      </c>
      <c r="L332" s="7">
        <f>INDEX(products!$A$1:$G$49,MATCH(orders!$D332,products!$A$1:$A$49,0),MATCH(orders!L$1,products!$A$1:$G$1,0))</f>
        <v>5.3699999999999992</v>
      </c>
      <c r="M332" s="7">
        <f t="shared" si="15"/>
        <v>16.11</v>
      </c>
      <c r="N332" t="str">
        <f t="shared" si="16"/>
        <v>Robusta</v>
      </c>
      <c r="O332" t="str">
        <f t="shared" si="17"/>
        <v>Dark</v>
      </c>
      <c r="P332" t="str">
        <f>_xlfn.XLOOKUP(Table1[[#This Row],[Customer ID]],customers!$A$1:$A$1001,customers!$I$1:$I$1001,,0)</f>
        <v>No</v>
      </c>
    </row>
    <row r="333" spans="1:16" x14ac:dyDescent="0.2">
      <c r="A333" s="2" t="s">
        <v>2357</v>
      </c>
      <c r="B333" s="3">
        <v>43989</v>
      </c>
      <c r="C333" s="2" t="s">
        <v>2358</v>
      </c>
      <c r="D333" t="s">
        <v>6151</v>
      </c>
      <c r="E333" s="2">
        <v>1</v>
      </c>
      <c r="F333" s="2" t="str">
        <f>_xlfn.XLOOKUP(C333,customers!$A332:$A1332,customers!$B332:$B1332,,0)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5">
        <f>INDEX(products!$A$1:$G$49,MATCH(orders!$D333,products!$A$1:$A$49,0),MATCH(orders!K$1,products!$A$1:$G$1,0))</f>
        <v>2.5</v>
      </c>
      <c r="L333" s="7">
        <f>INDEX(products!$A$1:$G$49,MATCH(orders!$D333,products!$A$1:$A$49,0),MATCH(orders!L$1,products!$A$1:$G$1,0))</f>
        <v>22.884999999999998</v>
      </c>
      <c r="M333" s="7">
        <f t="shared" si="15"/>
        <v>22.884999999999998</v>
      </c>
      <c r="N333" t="str">
        <f t="shared" si="16"/>
        <v>Robusta</v>
      </c>
      <c r="O333" t="str">
        <f t="shared" si="17"/>
        <v>Medium</v>
      </c>
      <c r="P333" t="str">
        <f>_xlfn.XLOOKUP(Table1[[#This Row],[Customer ID]],customers!$A$1:$A$1001,customers!$I$1:$I$1001,,0)</f>
        <v>Yes</v>
      </c>
    </row>
    <row r="334" spans="1:16" x14ac:dyDescent="0.2">
      <c r="A334" s="2" t="s">
        <v>2363</v>
      </c>
      <c r="B334" s="3">
        <v>43689</v>
      </c>
      <c r="C334" s="2" t="s">
        <v>2364</v>
      </c>
      <c r="D334" t="s">
        <v>6158</v>
      </c>
      <c r="E334" s="2">
        <v>3</v>
      </c>
      <c r="F334" s="2" t="str">
        <f>_xlfn.XLOOKUP(C334,customers!$A333:$A1333,customers!$B333:$B1333,,0)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5">
        <f>INDEX(products!$A$1:$G$49,MATCH(orders!$D334,products!$A$1:$A$49,0),MATCH(orders!K$1,products!$A$1:$G$1,0))</f>
        <v>0.5</v>
      </c>
      <c r="L334" s="7">
        <f>INDEX(products!$A$1:$G$49,MATCH(orders!$D334,products!$A$1:$A$49,0),MATCH(orders!L$1,products!$A$1:$G$1,0))</f>
        <v>5.97</v>
      </c>
      <c r="M334" s="7">
        <f t="shared" si="15"/>
        <v>17.91</v>
      </c>
      <c r="N334" t="str">
        <f t="shared" si="16"/>
        <v>Arabica</v>
      </c>
      <c r="O334" t="str">
        <f t="shared" si="17"/>
        <v>Dark</v>
      </c>
      <c r="P334" t="str">
        <f>_xlfn.XLOOKUP(Table1[[#This Row],[Customer ID]],customers!$A$1:$A$1001,customers!$I$1:$I$1001,,0)</f>
        <v>Yes</v>
      </c>
    </row>
    <row r="335" spans="1:16" x14ac:dyDescent="0.2">
      <c r="A335" s="2" t="s">
        <v>2369</v>
      </c>
      <c r="B335" s="3">
        <v>43712</v>
      </c>
      <c r="C335" s="2" t="s">
        <v>2370</v>
      </c>
      <c r="D335" t="s">
        <v>6146</v>
      </c>
      <c r="E335" s="2">
        <v>4</v>
      </c>
      <c r="F335" s="2" t="str">
        <f>_xlfn.XLOOKUP(C335,customers!$A334:$A1334,customers!$B334:$B1334,,0)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5">
        <f>INDEX(products!$A$1:$G$49,MATCH(orders!$D335,products!$A$1:$A$49,0),MATCH(orders!K$1,products!$A$1:$G$1,0))</f>
        <v>0.5</v>
      </c>
      <c r="L335" s="7">
        <f>INDEX(products!$A$1:$G$49,MATCH(orders!$D335,products!$A$1:$A$49,0),MATCH(orders!L$1,products!$A$1:$G$1,0))</f>
        <v>5.97</v>
      </c>
      <c r="M335" s="7">
        <f t="shared" si="15"/>
        <v>23.88</v>
      </c>
      <c r="N335" t="str">
        <f t="shared" si="16"/>
        <v>Robusta</v>
      </c>
      <c r="O335" t="str">
        <f t="shared" si="17"/>
        <v>Medium</v>
      </c>
      <c r="P335" t="str">
        <f>_xlfn.XLOOKUP(Table1[[#This Row],[Customer ID]],customers!$A$1:$A$1001,customers!$I$1:$I$1001,,0)</f>
        <v>Yes</v>
      </c>
    </row>
    <row r="336" spans="1:16" x14ac:dyDescent="0.2">
      <c r="A336" s="2" t="s">
        <v>2375</v>
      </c>
      <c r="B336" s="3">
        <v>43742</v>
      </c>
      <c r="C336" s="2" t="s">
        <v>2376</v>
      </c>
      <c r="D336" t="s">
        <v>6179</v>
      </c>
      <c r="E336" s="2">
        <v>5</v>
      </c>
      <c r="F336" s="2" t="str">
        <f>_xlfn.XLOOKUP(C336,customers!$A335:$A1335,customers!$B335:$B1335,,0)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5">
        <f>INDEX(products!$A$1:$G$49,MATCH(orders!$D336,products!$A$1:$A$49,0),MATCH(orders!K$1,products!$A$1:$G$1,0))</f>
        <v>1</v>
      </c>
      <c r="L336" s="7">
        <f>INDEX(products!$A$1:$G$49,MATCH(orders!$D336,products!$A$1:$A$49,0),MATCH(orders!L$1,products!$A$1:$G$1,0))</f>
        <v>11.95</v>
      </c>
      <c r="M336" s="7">
        <f t="shared" si="15"/>
        <v>59.75</v>
      </c>
      <c r="N336" t="str">
        <f t="shared" si="16"/>
        <v>Robusta</v>
      </c>
      <c r="O336" t="str">
        <f t="shared" si="17"/>
        <v>Light</v>
      </c>
      <c r="P336" t="str">
        <f>_xlfn.XLOOKUP(Table1[[#This Row],[Customer ID]],customers!$A$1:$A$1001,customers!$I$1:$I$1001,,0)</f>
        <v>No</v>
      </c>
    </row>
    <row r="337" spans="1:16" x14ac:dyDescent="0.2">
      <c r="A337" s="2" t="s">
        <v>2379</v>
      </c>
      <c r="B337" s="3">
        <v>43885</v>
      </c>
      <c r="C337" s="2" t="s">
        <v>2380</v>
      </c>
      <c r="D337" t="s">
        <v>6145</v>
      </c>
      <c r="E337" s="2">
        <v>6</v>
      </c>
      <c r="F337" s="2" t="str">
        <f>_xlfn.XLOOKUP(C337,customers!$A336:$A1336,customers!$B336:$B1336,,0)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5">
        <f>INDEX(products!$A$1:$G$49,MATCH(orders!$D337,products!$A$1:$A$49,0),MATCH(orders!K$1,products!$A$1:$G$1,0))</f>
        <v>0.2</v>
      </c>
      <c r="L337" s="7">
        <f>INDEX(products!$A$1:$G$49,MATCH(orders!$D337,products!$A$1:$A$49,0),MATCH(orders!L$1,products!$A$1:$G$1,0))</f>
        <v>4.7549999999999999</v>
      </c>
      <c r="M337" s="7">
        <f t="shared" si="15"/>
        <v>28.53</v>
      </c>
      <c r="N337" t="str">
        <f t="shared" si="16"/>
        <v>Liberica</v>
      </c>
      <c r="O337" t="str">
        <f t="shared" si="17"/>
        <v>Light</v>
      </c>
      <c r="P337" t="str">
        <f>_xlfn.XLOOKUP(Table1[[#This Row],[Customer ID]],customers!$A$1:$A$1001,customers!$I$1:$I$1001,,0)</f>
        <v>Yes</v>
      </c>
    </row>
    <row r="338" spans="1:16" x14ac:dyDescent="0.2">
      <c r="A338" s="2" t="s">
        <v>2385</v>
      </c>
      <c r="B338" s="3">
        <v>44434</v>
      </c>
      <c r="C338" s="2" t="s">
        <v>2386</v>
      </c>
      <c r="D338" t="s">
        <v>6155</v>
      </c>
      <c r="E338" s="2">
        <v>4</v>
      </c>
      <c r="F338" s="2" t="str">
        <f>_xlfn.XLOOKUP(C338,customers!$A337:$A1337,customers!$B337:$B1337,,0)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5">
        <f>INDEX(products!$A$1:$G$49,MATCH(orders!$D338,products!$A$1:$A$49,0),MATCH(orders!K$1,products!$A$1:$G$1,0))</f>
        <v>1</v>
      </c>
      <c r="L338" s="7">
        <f>INDEX(products!$A$1:$G$49,MATCH(orders!$D338,products!$A$1:$A$49,0),MATCH(orders!L$1,products!$A$1:$G$1,0))</f>
        <v>11.25</v>
      </c>
      <c r="M338" s="7">
        <f t="shared" si="15"/>
        <v>45</v>
      </c>
      <c r="N338" t="str">
        <f t="shared" si="16"/>
        <v>Arabica</v>
      </c>
      <c r="O338" t="str">
        <f t="shared" si="17"/>
        <v>Medium</v>
      </c>
      <c r="P338" t="str">
        <f>_xlfn.XLOOKUP(Table1[[#This Row],[Customer ID]],customers!$A$1:$A$1001,customers!$I$1:$I$1001,,0)</f>
        <v>No</v>
      </c>
    </row>
    <row r="339" spans="1:16" x14ac:dyDescent="0.2">
      <c r="A339" s="2" t="s">
        <v>2391</v>
      </c>
      <c r="B339" s="3">
        <v>44472</v>
      </c>
      <c r="C339" s="2" t="s">
        <v>2331</v>
      </c>
      <c r="D339" t="s">
        <v>6185</v>
      </c>
      <c r="E339" s="2">
        <v>2</v>
      </c>
      <c r="F339" s="2" t="e">
        <f>_xlfn.XLOOKUP(C339,customers!$A338:$A1338,customers!$B338:$B1338,,0)</f>
        <v>#N/A</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5">
        <f>INDEX(products!$A$1:$G$49,MATCH(orders!$D339,products!$A$1:$A$49,0),MATCH(orders!K$1,products!$A$1:$G$1,0))</f>
        <v>2.5</v>
      </c>
      <c r="L339" s="7">
        <f>INDEX(products!$A$1:$G$49,MATCH(orders!$D339,products!$A$1:$A$49,0),MATCH(orders!L$1,products!$A$1:$G$1,0))</f>
        <v>27.945</v>
      </c>
      <c r="M339" s="7">
        <f t="shared" si="15"/>
        <v>55.89</v>
      </c>
      <c r="N339" t="str">
        <f t="shared" si="16"/>
        <v>Excelsa</v>
      </c>
      <c r="O339" t="str">
        <f t="shared" si="17"/>
        <v>Dark</v>
      </c>
      <c r="P339" t="str">
        <f>_xlfn.XLOOKUP(Table1[[#This Row],[Customer ID]],customers!$A$1:$A$1001,customers!$I$1:$I$1001,,0)</f>
        <v>No</v>
      </c>
    </row>
    <row r="340" spans="1:16" x14ac:dyDescent="0.2">
      <c r="A340" s="2" t="s">
        <v>2396</v>
      </c>
      <c r="B340" s="3">
        <v>43995</v>
      </c>
      <c r="C340" s="2" t="s">
        <v>2397</v>
      </c>
      <c r="D340" t="s">
        <v>6171</v>
      </c>
      <c r="E340" s="2">
        <v>4</v>
      </c>
      <c r="F340" s="2" t="str">
        <f>_xlfn.XLOOKUP(C340,customers!$A339:$A1339,customers!$B339:$B1339,,0)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5">
        <f>INDEX(products!$A$1:$G$49,MATCH(orders!$D340,products!$A$1:$A$49,0),MATCH(orders!K$1,products!$A$1:$G$1,0))</f>
        <v>1</v>
      </c>
      <c r="L340" s="7">
        <f>INDEX(products!$A$1:$G$49,MATCH(orders!$D340,products!$A$1:$A$49,0),MATCH(orders!L$1,products!$A$1:$G$1,0))</f>
        <v>14.85</v>
      </c>
      <c r="M340" s="7">
        <f t="shared" si="15"/>
        <v>59.4</v>
      </c>
      <c r="N340" t="str">
        <f t="shared" si="16"/>
        <v>Excelsa</v>
      </c>
      <c r="O340" t="str">
        <f t="shared" si="17"/>
        <v>Light</v>
      </c>
      <c r="P340" t="str">
        <f>_xlfn.XLOOKUP(Table1[[#This Row],[Customer ID]],customers!$A$1:$A$1001,customers!$I$1:$I$1001,,0)</f>
        <v>No</v>
      </c>
    </row>
    <row r="341" spans="1:16" x14ac:dyDescent="0.2">
      <c r="A341" s="2" t="s">
        <v>2402</v>
      </c>
      <c r="B341" s="3">
        <v>44256</v>
      </c>
      <c r="C341" s="2" t="s">
        <v>2403</v>
      </c>
      <c r="D341" t="s">
        <v>6153</v>
      </c>
      <c r="E341" s="2">
        <v>2</v>
      </c>
      <c r="F341" s="2" t="str">
        <f>_xlfn.XLOOKUP(C341,customers!$A340:$A1340,customers!$B340:$B1340,,0)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5">
        <f>INDEX(products!$A$1:$G$49,MATCH(orders!$D341,products!$A$1:$A$49,0),MATCH(orders!K$1,products!$A$1:$G$1,0))</f>
        <v>0.2</v>
      </c>
      <c r="L341" s="7">
        <f>INDEX(products!$A$1:$G$49,MATCH(orders!$D341,products!$A$1:$A$49,0),MATCH(orders!L$1,products!$A$1:$G$1,0))</f>
        <v>3.645</v>
      </c>
      <c r="M341" s="7">
        <f t="shared" si="15"/>
        <v>7.29</v>
      </c>
      <c r="N341" t="str">
        <f t="shared" si="16"/>
        <v>Excelsa</v>
      </c>
      <c r="O341" t="str">
        <f t="shared" si="17"/>
        <v>Dark</v>
      </c>
      <c r="P341" t="str">
        <f>_xlfn.XLOOKUP(Table1[[#This Row],[Customer ID]],customers!$A$1:$A$1001,customers!$I$1:$I$1001,,0)</f>
        <v>Yes</v>
      </c>
    </row>
    <row r="342" spans="1:16" x14ac:dyDescent="0.2">
      <c r="A342" s="2" t="s">
        <v>2408</v>
      </c>
      <c r="B342" s="3">
        <v>43528</v>
      </c>
      <c r="C342" s="2" t="s">
        <v>2409</v>
      </c>
      <c r="D342" t="s">
        <v>6144</v>
      </c>
      <c r="E342" s="2">
        <v>1</v>
      </c>
      <c r="F342" s="2" t="str">
        <f>_xlfn.XLOOKUP(C342,customers!$A341:$A1341,customers!$B341:$B1341,,0)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5">
        <f>INDEX(products!$A$1:$G$49,MATCH(orders!$D342,products!$A$1:$A$49,0),MATCH(orders!K$1,products!$A$1:$G$1,0))</f>
        <v>0.5</v>
      </c>
      <c r="L342" s="7">
        <f>INDEX(products!$A$1:$G$49,MATCH(orders!$D342,products!$A$1:$A$49,0),MATCH(orders!L$1,products!$A$1:$G$1,0))</f>
        <v>7.29</v>
      </c>
      <c r="M342" s="7">
        <f t="shared" si="15"/>
        <v>7.29</v>
      </c>
      <c r="N342" t="str">
        <f t="shared" si="16"/>
        <v>Excelsa</v>
      </c>
      <c r="O342" t="str">
        <f t="shared" si="17"/>
        <v>Dark</v>
      </c>
      <c r="P342" t="str">
        <f>_xlfn.XLOOKUP(Table1[[#This Row],[Customer ID]],customers!$A$1:$A$1001,customers!$I$1:$I$1001,,0)</f>
        <v>Yes</v>
      </c>
    </row>
    <row r="343" spans="1:16" x14ac:dyDescent="0.2">
      <c r="A343" s="2" t="s">
        <v>2414</v>
      </c>
      <c r="B343" s="3">
        <v>43751</v>
      </c>
      <c r="C343" s="2" t="s">
        <v>2415</v>
      </c>
      <c r="D343" t="s">
        <v>6176</v>
      </c>
      <c r="E343" s="2">
        <v>2</v>
      </c>
      <c r="F343" s="2" t="str">
        <f>_xlfn.XLOOKUP(C343,customers!$A342:$A1342,customers!$B342:$B1342,,0)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5">
        <f>INDEX(products!$A$1:$G$49,MATCH(orders!$D343,products!$A$1:$A$49,0),MATCH(orders!K$1,products!$A$1:$G$1,0))</f>
        <v>0.5</v>
      </c>
      <c r="L343" s="7">
        <f>INDEX(products!$A$1:$G$49,MATCH(orders!$D343,products!$A$1:$A$49,0),MATCH(orders!L$1,products!$A$1:$G$1,0))</f>
        <v>8.91</v>
      </c>
      <c r="M343" s="7">
        <f t="shared" si="15"/>
        <v>17.82</v>
      </c>
      <c r="N343" t="str">
        <f t="shared" si="16"/>
        <v>Excelsa</v>
      </c>
      <c r="O343" t="str">
        <f t="shared" si="17"/>
        <v>Light</v>
      </c>
      <c r="P343" t="str">
        <f>_xlfn.XLOOKUP(Table1[[#This Row],[Customer ID]],customers!$A$1:$A$1001,customers!$I$1:$I$1001,,0)</f>
        <v>No</v>
      </c>
    </row>
    <row r="344" spans="1:16" x14ac:dyDescent="0.2">
      <c r="A344" s="2" t="s">
        <v>2414</v>
      </c>
      <c r="B344" s="3">
        <v>43751</v>
      </c>
      <c r="C344" s="2" t="s">
        <v>2415</v>
      </c>
      <c r="D344" t="s">
        <v>6169</v>
      </c>
      <c r="E344" s="2">
        <v>5</v>
      </c>
      <c r="F344" s="2" t="str">
        <f>_xlfn.XLOOKUP(C344,customers!$A343:$A1343,customers!$B343:$B1343,,0)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5">
        <f>INDEX(products!$A$1:$G$49,MATCH(orders!$D344,products!$A$1:$A$49,0),MATCH(orders!K$1,products!$A$1:$G$1,0))</f>
        <v>0.5</v>
      </c>
      <c r="L344" s="7">
        <f>INDEX(products!$A$1:$G$49,MATCH(orders!$D344,products!$A$1:$A$49,0),MATCH(orders!L$1,products!$A$1:$G$1,0))</f>
        <v>7.77</v>
      </c>
      <c r="M344" s="7">
        <f t="shared" si="15"/>
        <v>38.849999999999994</v>
      </c>
      <c r="N344" t="str">
        <f t="shared" si="16"/>
        <v>Liberica</v>
      </c>
      <c r="O344" t="str">
        <f t="shared" si="17"/>
        <v>Dark</v>
      </c>
      <c r="P344" t="str">
        <f>_xlfn.XLOOKUP(Table1[[#This Row],[Customer ID]],customers!$A$1:$A$1001,customers!$I$1:$I$1001,,0)</f>
        <v>No</v>
      </c>
    </row>
    <row r="345" spans="1:16" x14ac:dyDescent="0.2">
      <c r="A345" s="2" t="s">
        <v>2424</v>
      </c>
      <c r="B345" s="3">
        <v>43692</v>
      </c>
      <c r="C345" s="2" t="s">
        <v>2425</v>
      </c>
      <c r="D345" t="s">
        <v>6172</v>
      </c>
      <c r="E345" s="2">
        <v>6</v>
      </c>
      <c r="F345" s="2" t="str">
        <f>_xlfn.XLOOKUP(C345,customers!$A344:$A1344,customers!$B344:$B1344,,0)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5">
        <f>INDEX(products!$A$1:$G$49,MATCH(orders!$D345,products!$A$1:$A$49,0),MATCH(orders!K$1,products!$A$1:$G$1,0))</f>
        <v>0.5</v>
      </c>
      <c r="L345" s="7">
        <f>INDEX(products!$A$1:$G$49,MATCH(orders!$D345,products!$A$1:$A$49,0),MATCH(orders!L$1,products!$A$1:$G$1,0))</f>
        <v>5.3699999999999992</v>
      </c>
      <c r="M345" s="7">
        <f t="shared" si="15"/>
        <v>32.22</v>
      </c>
      <c r="N345" t="str">
        <f t="shared" si="16"/>
        <v>Robusta</v>
      </c>
      <c r="O345" t="str">
        <f t="shared" si="17"/>
        <v>Dark</v>
      </c>
      <c r="P345" t="str">
        <f>_xlfn.XLOOKUP(Table1[[#This Row],[Customer ID]],customers!$A$1:$A$1001,customers!$I$1:$I$1001,,0)</f>
        <v>No</v>
      </c>
    </row>
    <row r="346" spans="1:16" x14ac:dyDescent="0.2">
      <c r="A346" s="2" t="s">
        <v>2429</v>
      </c>
      <c r="B346" s="3">
        <v>44529</v>
      </c>
      <c r="C346" s="2" t="s">
        <v>2430</v>
      </c>
      <c r="D346" t="s">
        <v>6138</v>
      </c>
      <c r="E346" s="2">
        <v>2</v>
      </c>
      <c r="F346" s="2" t="str">
        <f>_xlfn.XLOOKUP(C346,customers!$A345:$A1345,customers!$B345:$B1345,,0)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5">
        <f>INDEX(products!$A$1:$G$49,MATCH(orders!$D346,products!$A$1:$A$49,0),MATCH(orders!K$1,products!$A$1:$G$1,0))</f>
        <v>1</v>
      </c>
      <c r="L346" s="7">
        <f>INDEX(products!$A$1:$G$49,MATCH(orders!$D346,products!$A$1:$A$49,0),MATCH(orders!L$1,products!$A$1:$G$1,0))</f>
        <v>9.9499999999999993</v>
      </c>
      <c r="M346" s="7">
        <f t="shared" si="15"/>
        <v>19.899999999999999</v>
      </c>
      <c r="N346" t="str">
        <f t="shared" si="16"/>
        <v>Robusta</v>
      </c>
      <c r="O346" t="str">
        <f t="shared" si="17"/>
        <v>Medium</v>
      </c>
      <c r="P346" t="str">
        <f>_xlfn.XLOOKUP(Table1[[#This Row],[Customer ID]],customers!$A$1:$A$1001,customers!$I$1:$I$1001,,0)</f>
        <v>Yes</v>
      </c>
    </row>
    <row r="347" spans="1:16" x14ac:dyDescent="0.2">
      <c r="A347" s="2" t="s">
        <v>2434</v>
      </c>
      <c r="B347" s="3">
        <v>43849</v>
      </c>
      <c r="C347" s="2" t="s">
        <v>2435</v>
      </c>
      <c r="D347" t="s">
        <v>6179</v>
      </c>
      <c r="E347" s="2">
        <v>5</v>
      </c>
      <c r="F347" s="2" t="str">
        <f>_xlfn.XLOOKUP(C347,customers!$A346:$A1346,customers!$B346:$B1346,,0)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5">
        <f>INDEX(products!$A$1:$G$49,MATCH(orders!$D347,products!$A$1:$A$49,0),MATCH(orders!K$1,products!$A$1:$G$1,0))</f>
        <v>1</v>
      </c>
      <c r="L347" s="7">
        <f>INDEX(products!$A$1:$G$49,MATCH(orders!$D347,products!$A$1:$A$49,0),MATCH(orders!L$1,products!$A$1:$G$1,0))</f>
        <v>11.95</v>
      </c>
      <c r="M347" s="7">
        <f t="shared" si="15"/>
        <v>59.75</v>
      </c>
      <c r="N347" t="str">
        <f t="shared" si="16"/>
        <v>Robusta</v>
      </c>
      <c r="O347" t="str">
        <f t="shared" si="17"/>
        <v>Light</v>
      </c>
      <c r="P347" t="str">
        <f>_xlfn.XLOOKUP(Table1[[#This Row],[Customer ID]],customers!$A$1:$A$1001,customers!$I$1:$I$1001,,0)</f>
        <v>No</v>
      </c>
    </row>
    <row r="348" spans="1:16" x14ac:dyDescent="0.2">
      <c r="A348" s="2" t="s">
        <v>2440</v>
      </c>
      <c r="B348" s="3">
        <v>44344</v>
      </c>
      <c r="C348" s="2" t="s">
        <v>2441</v>
      </c>
      <c r="D348" t="s">
        <v>6180</v>
      </c>
      <c r="E348" s="2">
        <v>3</v>
      </c>
      <c r="F348" s="2" t="str">
        <f>_xlfn.XLOOKUP(C348,customers!$A347:$A1347,customers!$B347:$B1347,,0)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5">
        <f>INDEX(products!$A$1:$G$49,MATCH(orders!$D348,products!$A$1:$A$49,0),MATCH(orders!K$1,products!$A$1:$G$1,0))</f>
        <v>0.5</v>
      </c>
      <c r="L348" s="7">
        <f>INDEX(products!$A$1:$G$49,MATCH(orders!$D348,products!$A$1:$A$49,0),MATCH(orders!L$1,products!$A$1:$G$1,0))</f>
        <v>7.77</v>
      </c>
      <c r="M348" s="7">
        <f t="shared" si="15"/>
        <v>23.31</v>
      </c>
      <c r="N348" t="str">
        <f t="shared" si="16"/>
        <v>Arabica</v>
      </c>
      <c r="O348" t="str">
        <f t="shared" si="17"/>
        <v>Light</v>
      </c>
      <c r="P348" t="str">
        <f>_xlfn.XLOOKUP(Table1[[#This Row],[Customer ID]],customers!$A$1:$A$1001,customers!$I$1:$I$1001,,0)</f>
        <v>Yes</v>
      </c>
    </row>
    <row r="349" spans="1:16" x14ac:dyDescent="0.2">
      <c r="A349" s="2" t="s">
        <v>2446</v>
      </c>
      <c r="B349" s="3">
        <v>44576</v>
      </c>
      <c r="C349" s="2" t="s">
        <v>2447</v>
      </c>
      <c r="D349" t="s">
        <v>6162</v>
      </c>
      <c r="E349" s="2">
        <v>3</v>
      </c>
      <c r="F349" s="2" t="str">
        <f>_xlfn.XLOOKUP(C349,customers!$A348:$A1348,customers!$B348:$B1348,,0)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5">
        <f>INDEX(products!$A$1:$G$49,MATCH(orders!$D349,products!$A$1:$A$49,0),MATCH(orders!K$1,products!$A$1:$G$1,0))</f>
        <v>1</v>
      </c>
      <c r="L349" s="7">
        <f>INDEX(products!$A$1:$G$49,MATCH(orders!$D349,products!$A$1:$A$49,0),MATCH(orders!L$1,products!$A$1:$G$1,0))</f>
        <v>14.55</v>
      </c>
      <c r="M349" s="7">
        <f t="shared" si="15"/>
        <v>43.650000000000006</v>
      </c>
      <c r="N349" t="str">
        <f t="shared" si="16"/>
        <v>Liberica</v>
      </c>
      <c r="O349" t="str">
        <f t="shared" si="17"/>
        <v>Medium</v>
      </c>
      <c r="P349" t="str">
        <f>_xlfn.XLOOKUP(Table1[[#This Row],[Customer ID]],customers!$A$1:$A$1001,customers!$I$1:$I$1001,,0)</f>
        <v>No</v>
      </c>
    </row>
    <row r="350" spans="1:16" x14ac:dyDescent="0.2">
      <c r="A350" s="2" t="s">
        <v>2452</v>
      </c>
      <c r="B350" s="3">
        <v>43803</v>
      </c>
      <c r="C350" s="2" t="s">
        <v>2453</v>
      </c>
      <c r="D350" t="s">
        <v>6148</v>
      </c>
      <c r="E350" s="2">
        <v>6</v>
      </c>
      <c r="F350" s="2" t="str">
        <f>_xlfn.XLOOKUP(C350,customers!$A349:$A1349,customers!$B349:$B1349,,0)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5">
        <f>INDEX(products!$A$1:$G$49,MATCH(orders!$D350,products!$A$1:$A$49,0),MATCH(orders!K$1,products!$A$1:$G$1,0))</f>
        <v>2.5</v>
      </c>
      <c r="L350" s="7">
        <f>INDEX(products!$A$1:$G$49,MATCH(orders!$D350,products!$A$1:$A$49,0),MATCH(orders!L$1,products!$A$1:$G$1,0))</f>
        <v>34.154999999999994</v>
      </c>
      <c r="M350" s="7">
        <f t="shared" si="15"/>
        <v>204.92999999999995</v>
      </c>
      <c r="N350" t="str">
        <f t="shared" si="16"/>
        <v>Excelsa</v>
      </c>
      <c r="O350" t="str">
        <f t="shared" si="17"/>
        <v>Light</v>
      </c>
      <c r="P350" t="str">
        <f>_xlfn.XLOOKUP(Table1[[#This Row],[Customer ID]],customers!$A$1:$A$1001,customers!$I$1:$I$1001,,0)</f>
        <v>No</v>
      </c>
    </row>
    <row r="351" spans="1:16" x14ac:dyDescent="0.2">
      <c r="A351" s="2" t="s">
        <v>2458</v>
      </c>
      <c r="B351" s="3">
        <v>44743</v>
      </c>
      <c r="C351" s="2" t="s">
        <v>2459</v>
      </c>
      <c r="D351" t="s">
        <v>6178</v>
      </c>
      <c r="E351" s="2">
        <v>4</v>
      </c>
      <c r="F351" s="2" t="str">
        <f>_xlfn.XLOOKUP(C351,customers!$A350:$A1350,customers!$B350:$B1350,,0)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5">
        <f>INDEX(products!$A$1:$G$49,MATCH(orders!$D351,products!$A$1:$A$49,0),MATCH(orders!K$1,products!$A$1:$G$1,0))</f>
        <v>0.2</v>
      </c>
      <c r="L351" s="7">
        <f>INDEX(products!$A$1:$G$49,MATCH(orders!$D351,products!$A$1:$A$49,0),MATCH(orders!L$1,products!$A$1:$G$1,0))</f>
        <v>3.5849999999999995</v>
      </c>
      <c r="M351" s="7">
        <f t="shared" si="15"/>
        <v>14.339999999999998</v>
      </c>
      <c r="N351" t="str">
        <f t="shared" si="16"/>
        <v>Robusta</v>
      </c>
      <c r="O351" t="str">
        <f t="shared" si="17"/>
        <v>Light</v>
      </c>
      <c r="P351" t="str">
        <f>_xlfn.XLOOKUP(Table1[[#This Row],[Customer ID]],customers!$A$1:$A$1001,customers!$I$1:$I$1001,,0)</f>
        <v>No</v>
      </c>
    </row>
    <row r="352" spans="1:16" x14ac:dyDescent="0.2">
      <c r="A352" s="2" t="s">
        <v>2464</v>
      </c>
      <c r="B352" s="3">
        <v>43592</v>
      </c>
      <c r="C352" s="2" t="s">
        <v>2465</v>
      </c>
      <c r="D352" t="s">
        <v>6158</v>
      </c>
      <c r="E352" s="2">
        <v>4</v>
      </c>
      <c r="F352" s="2" t="str">
        <f>_xlfn.XLOOKUP(C352,customers!$A351:$A1351,customers!$B351:$B1351,,0)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5">
        <f>INDEX(products!$A$1:$G$49,MATCH(orders!$D352,products!$A$1:$A$49,0),MATCH(orders!K$1,products!$A$1:$G$1,0))</f>
        <v>0.5</v>
      </c>
      <c r="L352" s="7">
        <f>INDEX(products!$A$1:$G$49,MATCH(orders!$D352,products!$A$1:$A$49,0),MATCH(orders!L$1,products!$A$1:$G$1,0))</f>
        <v>5.97</v>
      </c>
      <c r="M352" s="7">
        <f t="shared" si="15"/>
        <v>23.88</v>
      </c>
      <c r="N352" t="str">
        <f t="shared" si="16"/>
        <v>Arabica</v>
      </c>
      <c r="O352" t="str">
        <f t="shared" si="17"/>
        <v>Dark</v>
      </c>
      <c r="P352" t="str">
        <f>_xlfn.XLOOKUP(Table1[[#This Row],[Customer ID]],customers!$A$1:$A$1001,customers!$I$1:$I$1001,,0)</f>
        <v>No</v>
      </c>
    </row>
    <row r="353" spans="1:16" x14ac:dyDescent="0.2">
      <c r="A353" s="2" t="s">
        <v>2470</v>
      </c>
      <c r="B353" s="3">
        <v>44066</v>
      </c>
      <c r="C353" s="2" t="s">
        <v>2471</v>
      </c>
      <c r="D353" t="s">
        <v>6155</v>
      </c>
      <c r="E353" s="2">
        <v>2</v>
      </c>
      <c r="F353" s="2" t="str">
        <f>_xlfn.XLOOKUP(C353,customers!$A352:$A1352,customers!$B352:$B1352,,0)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5">
        <f>INDEX(products!$A$1:$G$49,MATCH(orders!$D353,products!$A$1:$A$49,0),MATCH(orders!K$1,products!$A$1:$G$1,0))</f>
        <v>1</v>
      </c>
      <c r="L353" s="7">
        <f>INDEX(products!$A$1:$G$49,MATCH(orders!$D353,products!$A$1:$A$49,0),MATCH(orders!L$1,products!$A$1:$G$1,0))</f>
        <v>11.25</v>
      </c>
      <c r="M353" s="7">
        <f t="shared" si="15"/>
        <v>22.5</v>
      </c>
      <c r="N353" t="str">
        <f t="shared" si="16"/>
        <v>Arabica</v>
      </c>
      <c r="O353" t="str">
        <f t="shared" si="17"/>
        <v>Medium</v>
      </c>
      <c r="P353" t="str">
        <f>_xlfn.XLOOKUP(Table1[[#This Row],[Customer ID]],customers!$A$1:$A$1001,customers!$I$1:$I$1001,,0)</f>
        <v>No</v>
      </c>
    </row>
    <row r="354" spans="1:16" x14ac:dyDescent="0.2">
      <c r="A354" s="2" t="s">
        <v>2476</v>
      </c>
      <c r="B354" s="3">
        <v>43984</v>
      </c>
      <c r="C354" s="2" t="s">
        <v>2331</v>
      </c>
      <c r="D354" t="s">
        <v>6144</v>
      </c>
      <c r="E354" s="2">
        <v>5</v>
      </c>
      <c r="F354" s="2" t="e">
        <f>_xlfn.XLOOKUP(C354,customers!$A353:$A1353,customers!$B353:$B1353,,0)</f>
        <v>#N/A</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5">
        <f>INDEX(products!$A$1:$G$49,MATCH(orders!$D354,products!$A$1:$A$49,0),MATCH(orders!K$1,products!$A$1:$G$1,0))</f>
        <v>0.5</v>
      </c>
      <c r="L354" s="7">
        <f>INDEX(products!$A$1:$G$49,MATCH(orders!$D354,products!$A$1:$A$49,0),MATCH(orders!L$1,products!$A$1:$G$1,0))</f>
        <v>7.29</v>
      </c>
      <c r="M354" s="7">
        <f t="shared" si="15"/>
        <v>36.450000000000003</v>
      </c>
      <c r="N354" t="str">
        <f t="shared" si="16"/>
        <v>Excelsa</v>
      </c>
      <c r="O354" t="str">
        <f t="shared" si="17"/>
        <v>Dark</v>
      </c>
      <c r="P354" t="str">
        <f>_xlfn.XLOOKUP(Table1[[#This Row],[Customer ID]],customers!$A$1:$A$1001,customers!$I$1:$I$1001,,0)</f>
        <v>No</v>
      </c>
    </row>
    <row r="355" spans="1:16" x14ac:dyDescent="0.2">
      <c r="A355" s="2" t="s">
        <v>2482</v>
      </c>
      <c r="B355" s="3">
        <v>43860</v>
      </c>
      <c r="C355" s="2" t="s">
        <v>2483</v>
      </c>
      <c r="D355" t="s">
        <v>6157</v>
      </c>
      <c r="E355" s="2">
        <v>4</v>
      </c>
      <c r="F355" s="2" t="str">
        <f>_xlfn.XLOOKUP(C355,customers!$A354:$A1354,customers!$B354:$B1354,,0)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5">
        <f>INDEX(products!$A$1:$G$49,MATCH(orders!$D355,products!$A$1:$A$49,0),MATCH(orders!K$1,products!$A$1:$G$1,0))</f>
        <v>0.5</v>
      </c>
      <c r="L355" s="7">
        <f>INDEX(products!$A$1:$G$49,MATCH(orders!$D355,products!$A$1:$A$49,0),MATCH(orders!L$1,products!$A$1:$G$1,0))</f>
        <v>6.75</v>
      </c>
      <c r="M355" s="7">
        <f t="shared" si="15"/>
        <v>27</v>
      </c>
      <c r="N355" t="str">
        <f t="shared" si="16"/>
        <v>Arabica</v>
      </c>
      <c r="O355" t="str">
        <f t="shared" si="17"/>
        <v>Medium</v>
      </c>
      <c r="P355" t="str">
        <f>_xlfn.XLOOKUP(Table1[[#This Row],[Customer ID]],customers!$A$1:$A$1001,customers!$I$1:$I$1001,,0)</f>
        <v>Yes</v>
      </c>
    </row>
    <row r="356" spans="1:16" x14ac:dyDescent="0.2">
      <c r="A356" s="2" t="s">
        <v>2487</v>
      </c>
      <c r="B356" s="3">
        <v>43876</v>
      </c>
      <c r="C356" s="2" t="s">
        <v>2488</v>
      </c>
      <c r="D356" t="s">
        <v>6175</v>
      </c>
      <c r="E356" s="2">
        <v>6</v>
      </c>
      <c r="F356" s="2" t="str">
        <f>_xlfn.XLOOKUP(C356,customers!$A355:$A1355,customers!$B355:$B1355,,0)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5">
        <f>INDEX(products!$A$1:$G$49,MATCH(orders!$D356,products!$A$1:$A$49,0),MATCH(orders!K$1,products!$A$1:$G$1,0))</f>
        <v>2.5</v>
      </c>
      <c r="L356" s="7">
        <f>INDEX(products!$A$1:$G$49,MATCH(orders!$D356,products!$A$1:$A$49,0),MATCH(orders!L$1,products!$A$1:$G$1,0))</f>
        <v>25.874999999999996</v>
      </c>
      <c r="M356" s="7">
        <f t="shared" si="15"/>
        <v>155.24999999999997</v>
      </c>
      <c r="N356" t="str">
        <f t="shared" si="16"/>
        <v>Arabica</v>
      </c>
      <c r="O356" t="str">
        <f t="shared" si="17"/>
        <v>Medium</v>
      </c>
      <c r="P356" t="str">
        <f>_xlfn.XLOOKUP(Table1[[#This Row],[Customer ID]],customers!$A$1:$A$1001,customers!$I$1:$I$1001,,0)</f>
        <v>No</v>
      </c>
    </row>
    <row r="357" spans="1:16" x14ac:dyDescent="0.2">
      <c r="A357" s="2" t="s">
        <v>2492</v>
      </c>
      <c r="B357" s="3">
        <v>44358</v>
      </c>
      <c r="C357" s="2" t="s">
        <v>2493</v>
      </c>
      <c r="D357" t="s">
        <v>6168</v>
      </c>
      <c r="E357" s="2">
        <v>5</v>
      </c>
      <c r="F357" s="2" t="str">
        <f>_xlfn.XLOOKUP(C357,customers!$A356:$A1356,customers!$B356:$B1356,,0)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5">
        <f>INDEX(products!$A$1:$G$49,MATCH(orders!$D357,products!$A$1:$A$49,0),MATCH(orders!K$1,products!$A$1:$G$1,0))</f>
        <v>2.5</v>
      </c>
      <c r="L357" s="7">
        <f>INDEX(products!$A$1:$G$49,MATCH(orders!$D357,products!$A$1:$A$49,0),MATCH(orders!L$1,products!$A$1:$G$1,0))</f>
        <v>22.884999999999998</v>
      </c>
      <c r="M357" s="7">
        <f t="shared" si="15"/>
        <v>114.42499999999998</v>
      </c>
      <c r="N357" t="str">
        <f t="shared" si="16"/>
        <v>Arabica</v>
      </c>
      <c r="O357" t="str">
        <f t="shared" si="17"/>
        <v>Dark</v>
      </c>
      <c r="P357" t="str">
        <f>_xlfn.XLOOKUP(Table1[[#This Row],[Customer ID]],customers!$A$1:$A$1001,customers!$I$1:$I$1001,,0)</f>
        <v>Yes</v>
      </c>
    </row>
    <row r="358" spans="1:16" x14ac:dyDescent="0.2">
      <c r="A358" s="2" t="s">
        <v>2498</v>
      </c>
      <c r="B358" s="3">
        <v>44631</v>
      </c>
      <c r="C358" s="2" t="s">
        <v>2499</v>
      </c>
      <c r="D358" t="s">
        <v>6143</v>
      </c>
      <c r="E358" s="2">
        <v>4</v>
      </c>
      <c r="F358" s="2" t="str">
        <f>_xlfn.XLOOKUP(C358,customers!$A357:$A1357,customers!$B357:$B1357,,0)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5">
        <f>INDEX(products!$A$1:$G$49,MATCH(orders!$D358,products!$A$1:$A$49,0),MATCH(orders!K$1,products!$A$1:$G$1,0))</f>
        <v>1</v>
      </c>
      <c r="L358" s="7">
        <f>INDEX(products!$A$1:$G$49,MATCH(orders!$D358,products!$A$1:$A$49,0),MATCH(orders!L$1,products!$A$1:$G$1,0))</f>
        <v>12.95</v>
      </c>
      <c r="M358" s="7">
        <f t="shared" si="15"/>
        <v>51.8</v>
      </c>
      <c r="N358" t="str">
        <f t="shared" si="16"/>
        <v>Liberica</v>
      </c>
      <c r="O358" t="str">
        <f t="shared" si="17"/>
        <v>Dark</v>
      </c>
      <c r="P358" t="str">
        <f>_xlfn.XLOOKUP(Table1[[#This Row],[Customer ID]],customers!$A$1:$A$1001,customers!$I$1:$I$1001,,0)</f>
        <v>Yes</v>
      </c>
    </row>
    <row r="359" spans="1:16" x14ac:dyDescent="0.2">
      <c r="A359" s="2" t="s">
        <v>2504</v>
      </c>
      <c r="B359" s="3">
        <v>44448</v>
      </c>
      <c r="C359" s="2" t="s">
        <v>2505</v>
      </c>
      <c r="D359" t="s">
        <v>6175</v>
      </c>
      <c r="E359" s="2">
        <v>6</v>
      </c>
      <c r="F359" s="2" t="str">
        <f>_xlfn.XLOOKUP(C359,customers!$A358:$A1358,customers!$B358:$B1358,,0)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5">
        <f>INDEX(products!$A$1:$G$49,MATCH(orders!$D359,products!$A$1:$A$49,0),MATCH(orders!K$1,products!$A$1:$G$1,0))</f>
        <v>2.5</v>
      </c>
      <c r="L359" s="7">
        <f>INDEX(products!$A$1:$G$49,MATCH(orders!$D359,products!$A$1:$A$49,0),MATCH(orders!L$1,products!$A$1:$G$1,0))</f>
        <v>25.874999999999996</v>
      </c>
      <c r="M359" s="7">
        <f t="shared" si="15"/>
        <v>155.24999999999997</v>
      </c>
      <c r="N359" t="str">
        <f t="shared" si="16"/>
        <v>Arabica</v>
      </c>
      <c r="O359" t="str">
        <f t="shared" si="17"/>
        <v>Medium</v>
      </c>
      <c r="P359" t="str">
        <f>_xlfn.XLOOKUP(Table1[[#This Row],[Customer ID]],customers!$A$1:$A$1001,customers!$I$1:$I$1001,,0)</f>
        <v>No</v>
      </c>
    </row>
    <row r="360" spans="1:16" x14ac:dyDescent="0.2">
      <c r="A360" s="2" t="s">
        <v>2509</v>
      </c>
      <c r="B360" s="3">
        <v>43599</v>
      </c>
      <c r="C360" s="2" t="s">
        <v>2510</v>
      </c>
      <c r="D360" t="s">
        <v>6182</v>
      </c>
      <c r="E360" s="2">
        <v>1</v>
      </c>
      <c r="F360" s="2" t="str">
        <f>_xlfn.XLOOKUP(C360,customers!$A359:$A1359,customers!$B359:$B1359,,0)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5">
        <f>INDEX(products!$A$1:$G$49,MATCH(orders!$D360,products!$A$1:$A$49,0),MATCH(orders!K$1,products!$A$1:$G$1,0))</f>
        <v>2.5</v>
      </c>
      <c r="L360" s="7">
        <f>INDEX(products!$A$1:$G$49,MATCH(orders!$D360,products!$A$1:$A$49,0),MATCH(orders!L$1,products!$A$1:$G$1,0))</f>
        <v>29.784999999999997</v>
      </c>
      <c r="M360" s="7">
        <f t="shared" si="15"/>
        <v>29.784999999999997</v>
      </c>
      <c r="N360" t="str">
        <f t="shared" si="16"/>
        <v>Arabica</v>
      </c>
      <c r="O360" t="str">
        <f t="shared" si="17"/>
        <v>Light</v>
      </c>
      <c r="P360" t="str">
        <f>_xlfn.XLOOKUP(Table1[[#This Row],[Customer ID]],customers!$A$1:$A$1001,customers!$I$1:$I$1001,,0)</f>
        <v>No</v>
      </c>
    </row>
    <row r="361" spans="1:16" x14ac:dyDescent="0.2">
      <c r="A361" s="2" t="s">
        <v>2515</v>
      </c>
      <c r="B361" s="3">
        <v>43563</v>
      </c>
      <c r="C361" s="2" t="s">
        <v>2516</v>
      </c>
      <c r="D361" t="s">
        <v>6178</v>
      </c>
      <c r="E361" s="2">
        <v>6</v>
      </c>
      <c r="F361" s="2" t="str">
        <f>_xlfn.XLOOKUP(C361,customers!$A360:$A1360,customers!$B360:$B1360,,0)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5">
        <f>INDEX(products!$A$1:$G$49,MATCH(orders!$D361,products!$A$1:$A$49,0),MATCH(orders!K$1,products!$A$1:$G$1,0))</f>
        <v>0.2</v>
      </c>
      <c r="L361" s="7">
        <f>INDEX(products!$A$1:$G$49,MATCH(orders!$D361,products!$A$1:$A$49,0),MATCH(orders!L$1,products!$A$1:$G$1,0))</f>
        <v>3.5849999999999995</v>
      </c>
      <c r="M361" s="7">
        <f t="shared" si="15"/>
        <v>21.509999999999998</v>
      </c>
      <c r="N361" t="str">
        <f t="shared" si="16"/>
        <v>Robusta</v>
      </c>
      <c r="O361" t="str">
        <f t="shared" si="17"/>
        <v>Light</v>
      </c>
      <c r="P361" t="str">
        <f>_xlfn.XLOOKUP(Table1[[#This Row],[Customer ID]],customers!$A$1:$A$1001,customers!$I$1:$I$1001,,0)</f>
        <v>No</v>
      </c>
    </row>
    <row r="362" spans="1:16" x14ac:dyDescent="0.2">
      <c r="A362" s="2" t="s">
        <v>2521</v>
      </c>
      <c r="B362" s="3">
        <v>44058</v>
      </c>
      <c r="C362" s="2" t="s">
        <v>2522</v>
      </c>
      <c r="D362" t="s">
        <v>6149</v>
      </c>
      <c r="E362" s="2">
        <v>2</v>
      </c>
      <c r="F362" s="2" t="str">
        <f>_xlfn.XLOOKUP(C362,customers!$A361:$A1361,customers!$B361:$B1361,,0)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5">
        <f>INDEX(products!$A$1:$G$49,MATCH(orders!$D362,products!$A$1:$A$49,0),MATCH(orders!K$1,products!$A$1:$G$1,0))</f>
        <v>2.5</v>
      </c>
      <c r="L362" s="7">
        <f>INDEX(products!$A$1:$G$49,MATCH(orders!$D362,products!$A$1:$A$49,0),MATCH(orders!L$1,products!$A$1:$G$1,0))</f>
        <v>20.584999999999997</v>
      </c>
      <c r="M362" s="7">
        <f t="shared" si="15"/>
        <v>41.169999999999995</v>
      </c>
      <c r="N362" t="str">
        <f t="shared" si="16"/>
        <v>Robusta</v>
      </c>
      <c r="O362" t="str">
        <f t="shared" si="17"/>
        <v>Dark</v>
      </c>
      <c r="P362" t="str">
        <f>_xlfn.XLOOKUP(Table1[[#This Row],[Customer ID]],customers!$A$1:$A$1001,customers!$I$1:$I$1001,,0)</f>
        <v>No</v>
      </c>
    </row>
    <row r="363" spans="1:16" x14ac:dyDescent="0.2">
      <c r="A363" s="2" t="s">
        <v>2521</v>
      </c>
      <c r="B363" s="3">
        <v>44058</v>
      </c>
      <c r="C363" s="2" t="s">
        <v>2522</v>
      </c>
      <c r="D363" t="s">
        <v>6146</v>
      </c>
      <c r="E363" s="2">
        <v>1</v>
      </c>
      <c r="F363" s="2" t="str">
        <f>_xlfn.XLOOKUP(C363,customers!$A362:$A1362,customers!$B362:$B1362,,0)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5">
        <f>INDEX(products!$A$1:$G$49,MATCH(orders!$D363,products!$A$1:$A$49,0),MATCH(orders!K$1,products!$A$1:$G$1,0))</f>
        <v>0.5</v>
      </c>
      <c r="L363" s="7">
        <f>INDEX(products!$A$1:$G$49,MATCH(orders!$D363,products!$A$1:$A$49,0),MATCH(orders!L$1,products!$A$1:$G$1,0))</f>
        <v>5.97</v>
      </c>
      <c r="M363" s="7">
        <f t="shared" si="15"/>
        <v>5.97</v>
      </c>
      <c r="N363" t="str">
        <f t="shared" si="16"/>
        <v>Robusta</v>
      </c>
      <c r="O363" t="str">
        <f t="shared" si="17"/>
        <v>Medium</v>
      </c>
      <c r="P363" t="str">
        <f>_xlfn.XLOOKUP(Table1[[#This Row],[Customer ID]],customers!$A$1:$A$1001,customers!$I$1:$I$1001,,0)</f>
        <v>No</v>
      </c>
    </row>
    <row r="364" spans="1:16" x14ac:dyDescent="0.2">
      <c r="A364" s="2" t="s">
        <v>2532</v>
      </c>
      <c r="B364" s="3">
        <v>44686</v>
      </c>
      <c r="C364" s="2" t="s">
        <v>2533</v>
      </c>
      <c r="D364" t="s">
        <v>6171</v>
      </c>
      <c r="E364" s="2">
        <v>5</v>
      </c>
      <c r="F364" s="2" t="str">
        <f>_xlfn.XLOOKUP(C364,customers!$A363:$A1363,customers!$B363:$B1363,,0)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5">
        <f>INDEX(products!$A$1:$G$49,MATCH(orders!$D364,products!$A$1:$A$49,0),MATCH(orders!K$1,products!$A$1:$G$1,0))</f>
        <v>1</v>
      </c>
      <c r="L364" s="7">
        <f>INDEX(products!$A$1:$G$49,MATCH(orders!$D364,products!$A$1:$A$49,0),MATCH(orders!L$1,products!$A$1:$G$1,0))</f>
        <v>14.85</v>
      </c>
      <c r="M364" s="7">
        <f t="shared" si="15"/>
        <v>74.25</v>
      </c>
      <c r="N364" t="str">
        <f t="shared" si="16"/>
        <v>Excelsa</v>
      </c>
      <c r="O364" t="str">
        <f t="shared" si="17"/>
        <v>Light</v>
      </c>
      <c r="P364" t="str">
        <f>_xlfn.XLOOKUP(Table1[[#This Row],[Customer ID]],customers!$A$1:$A$1001,customers!$I$1:$I$1001,,0)</f>
        <v>Yes</v>
      </c>
    </row>
    <row r="365" spans="1:16" x14ac:dyDescent="0.2">
      <c r="A365" s="2" t="s">
        <v>2538</v>
      </c>
      <c r="B365" s="3">
        <v>44282</v>
      </c>
      <c r="C365" s="2" t="s">
        <v>2539</v>
      </c>
      <c r="D365" t="s">
        <v>6162</v>
      </c>
      <c r="E365" s="2">
        <v>6</v>
      </c>
      <c r="F365" s="2" t="str">
        <f>_xlfn.XLOOKUP(C365,customers!$A364:$A1364,customers!$B364:$B1364,,0)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5">
        <f>INDEX(products!$A$1:$G$49,MATCH(orders!$D365,products!$A$1:$A$49,0),MATCH(orders!K$1,products!$A$1:$G$1,0))</f>
        <v>1</v>
      </c>
      <c r="L365" s="7">
        <f>INDEX(products!$A$1:$G$49,MATCH(orders!$D365,products!$A$1:$A$49,0),MATCH(orders!L$1,products!$A$1:$G$1,0))</f>
        <v>14.55</v>
      </c>
      <c r="M365" s="7">
        <f t="shared" si="15"/>
        <v>87.300000000000011</v>
      </c>
      <c r="N365" t="str">
        <f t="shared" si="16"/>
        <v>Liberica</v>
      </c>
      <c r="O365" t="str">
        <f t="shared" si="17"/>
        <v>Medium</v>
      </c>
      <c r="P365" t="str">
        <f>_xlfn.XLOOKUP(Table1[[#This Row],[Customer ID]],customers!$A$1:$A$1001,customers!$I$1:$I$1001,,0)</f>
        <v>No</v>
      </c>
    </row>
    <row r="366" spans="1:16" x14ac:dyDescent="0.2">
      <c r="A366" s="2" t="s">
        <v>2543</v>
      </c>
      <c r="B366" s="3">
        <v>43582</v>
      </c>
      <c r="C366" s="2" t="s">
        <v>2544</v>
      </c>
      <c r="D366" t="s">
        <v>6183</v>
      </c>
      <c r="E366" s="2">
        <v>6</v>
      </c>
      <c r="F366" s="2" t="str">
        <f>_xlfn.XLOOKUP(C366,customers!$A365:$A1365,customers!$B365:$B1365,,0)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5">
        <f>INDEX(products!$A$1:$G$49,MATCH(orders!$D366,products!$A$1:$A$49,0),MATCH(orders!K$1,products!$A$1:$G$1,0))</f>
        <v>1</v>
      </c>
      <c r="L366" s="7">
        <f>INDEX(products!$A$1:$G$49,MATCH(orders!$D366,products!$A$1:$A$49,0),MATCH(orders!L$1,products!$A$1:$G$1,0))</f>
        <v>12.15</v>
      </c>
      <c r="M366" s="7">
        <f t="shared" si="15"/>
        <v>72.900000000000006</v>
      </c>
      <c r="N366" t="str">
        <f t="shared" si="16"/>
        <v>Excelsa</v>
      </c>
      <c r="O366" t="str">
        <f t="shared" si="17"/>
        <v>Dark</v>
      </c>
      <c r="P366" t="str">
        <f>_xlfn.XLOOKUP(Table1[[#This Row],[Customer ID]],customers!$A$1:$A$1001,customers!$I$1:$I$1001,,0)</f>
        <v>Yes</v>
      </c>
    </row>
    <row r="367" spans="1:16" x14ac:dyDescent="0.2">
      <c r="A367" s="2" t="s">
        <v>2549</v>
      </c>
      <c r="B367" s="3">
        <v>44464</v>
      </c>
      <c r="C367" s="2" t="s">
        <v>2550</v>
      </c>
      <c r="D367" t="s">
        <v>6169</v>
      </c>
      <c r="E367" s="2">
        <v>1</v>
      </c>
      <c r="F367" s="2" t="str">
        <f>_xlfn.XLOOKUP(C367,customers!$A366:$A1366,customers!$B366:$B1366,,0)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5">
        <f>INDEX(products!$A$1:$G$49,MATCH(orders!$D367,products!$A$1:$A$49,0),MATCH(orders!K$1,products!$A$1:$G$1,0))</f>
        <v>0.5</v>
      </c>
      <c r="L367" s="7">
        <f>INDEX(products!$A$1:$G$49,MATCH(orders!$D367,products!$A$1:$A$49,0),MATCH(orders!L$1,products!$A$1:$G$1,0))</f>
        <v>7.77</v>
      </c>
      <c r="M367" s="7">
        <f t="shared" si="15"/>
        <v>7.77</v>
      </c>
      <c r="N367" t="str">
        <f t="shared" si="16"/>
        <v>Liberica</v>
      </c>
      <c r="O367" t="str">
        <f t="shared" si="17"/>
        <v>Dark</v>
      </c>
      <c r="P367" t="str">
        <f>_xlfn.XLOOKUP(Table1[[#This Row],[Customer ID]],customers!$A$1:$A$1001,customers!$I$1:$I$1001,,0)</f>
        <v>No</v>
      </c>
    </row>
    <row r="368" spans="1:16" x14ac:dyDescent="0.2">
      <c r="A368" s="2" t="s">
        <v>2554</v>
      </c>
      <c r="B368" s="3">
        <v>43874</v>
      </c>
      <c r="C368" s="2" t="s">
        <v>2555</v>
      </c>
      <c r="D368" t="s">
        <v>6144</v>
      </c>
      <c r="E368" s="2">
        <v>6</v>
      </c>
      <c r="F368" s="2" t="str">
        <f>_xlfn.XLOOKUP(C368,customers!$A367:$A1367,customers!$B367:$B1367,,0)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5">
        <f>INDEX(products!$A$1:$G$49,MATCH(orders!$D368,products!$A$1:$A$49,0),MATCH(orders!K$1,products!$A$1:$G$1,0))</f>
        <v>0.5</v>
      </c>
      <c r="L368" s="7">
        <f>INDEX(products!$A$1:$G$49,MATCH(orders!$D368,products!$A$1:$A$49,0),MATCH(orders!L$1,products!$A$1:$G$1,0))</f>
        <v>7.29</v>
      </c>
      <c r="M368" s="7">
        <f t="shared" si="15"/>
        <v>43.74</v>
      </c>
      <c r="N368" t="str">
        <f t="shared" si="16"/>
        <v>Excelsa</v>
      </c>
      <c r="O368" t="str">
        <f t="shared" si="17"/>
        <v>Dark</v>
      </c>
      <c r="P368" t="str">
        <f>_xlfn.XLOOKUP(Table1[[#This Row],[Customer ID]],customers!$A$1:$A$1001,customers!$I$1:$I$1001,,0)</f>
        <v>No</v>
      </c>
    </row>
    <row r="369" spans="1:16" x14ac:dyDescent="0.2">
      <c r="A369" s="2" t="s">
        <v>2559</v>
      </c>
      <c r="B369" s="3">
        <v>44393</v>
      </c>
      <c r="C369" s="2" t="s">
        <v>2560</v>
      </c>
      <c r="D369" t="s">
        <v>6159</v>
      </c>
      <c r="E369" s="2">
        <v>2</v>
      </c>
      <c r="F369" s="2" t="str">
        <f>_xlfn.XLOOKUP(C369,customers!$A368:$A1368,customers!$B368:$B1368,,0)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5">
        <f>INDEX(products!$A$1:$G$49,MATCH(orders!$D369,products!$A$1:$A$49,0),MATCH(orders!K$1,products!$A$1:$G$1,0))</f>
        <v>0.2</v>
      </c>
      <c r="L369" s="7">
        <f>INDEX(products!$A$1:$G$49,MATCH(orders!$D369,products!$A$1:$A$49,0),MATCH(orders!L$1,products!$A$1:$G$1,0))</f>
        <v>4.3650000000000002</v>
      </c>
      <c r="M369" s="7">
        <f t="shared" si="15"/>
        <v>8.73</v>
      </c>
      <c r="N369" t="str">
        <f t="shared" si="16"/>
        <v>Liberica</v>
      </c>
      <c r="O369" t="str">
        <f t="shared" si="17"/>
        <v>Medium</v>
      </c>
      <c r="P369" t="str">
        <f>_xlfn.XLOOKUP(Table1[[#This Row],[Customer ID]],customers!$A$1:$A$1001,customers!$I$1:$I$1001,,0)</f>
        <v>Yes</v>
      </c>
    </row>
    <row r="370" spans="1:16" x14ac:dyDescent="0.2">
      <c r="A370" s="2" t="s">
        <v>2563</v>
      </c>
      <c r="B370" s="3">
        <v>44692</v>
      </c>
      <c r="C370" s="2" t="s">
        <v>2564</v>
      </c>
      <c r="D370" t="s">
        <v>6166</v>
      </c>
      <c r="E370" s="2">
        <v>2</v>
      </c>
      <c r="F370" s="2" t="str">
        <f>_xlfn.XLOOKUP(C370,customers!$A369:$A1369,customers!$B369:$B1369,,0)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5">
        <f>INDEX(products!$A$1:$G$49,MATCH(orders!$D370,products!$A$1:$A$49,0),MATCH(orders!K$1,products!$A$1:$G$1,0))</f>
        <v>2.5</v>
      </c>
      <c r="L370" s="7">
        <f>INDEX(products!$A$1:$G$49,MATCH(orders!$D370,products!$A$1:$A$49,0),MATCH(orders!L$1,products!$A$1:$G$1,0))</f>
        <v>31.624999999999996</v>
      </c>
      <c r="M370" s="7">
        <f t="shared" si="15"/>
        <v>63.249999999999993</v>
      </c>
      <c r="N370" t="str">
        <f t="shared" si="16"/>
        <v>Excelsa</v>
      </c>
      <c r="O370" t="str">
        <f t="shared" si="17"/>
        <v>Medium</v>
      </c>
      <c r="P370" t="str">
        <f>_xlfn.XLOOKUP(Table1[[#This Row],[Customer ID]],customers!$A$1:$A$1001,customers!$I$1:$I$1001,,0)</f>
        <v>No</v>
      </c>
    </row>
    <row r="371" spans="1:16" x14ac:dyDescent="0.2">
      <c r="A371" s="2" t="s">
        <v>2569</v>
      </c>
      <c r="B371" s="3">
        <v>43500</v>
      </c>
      <c r="C371" s="2" t="s">
        <v>2570</v>
      </c>
      <c r="D371" t="s">
        <v>6176</v>
      </c>
      <c r="E371" s="2">
        <v>1</v>
      </c>
      <c r="F371" s="2" t="str">
        <f>_xlfn.XLOOKUP(C371,customers!$A370:$A1370,customers!$B370:$B1370,,0)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5">
        <f>INDEX(products!$A$1:$G$49,MATCH(orders!$D371,products!$A$1:$A$49,0),MATCH(orders!K$1,products!$A$1:$G$1,0))</f>
        <v>0.5</v>
      </c>
      <c r="L371" s="7">
        <f>INDEX(products!$A$1:$G$49,MATCH(orders!$D371,products!$A$1:$A$49,0),MATCH(orders!L$1,products!$A$1:$G$1,0))</f>
        <v>8.91</v>
      </c>
      <c r="M371" s="7">
        <f t="shared" si="15"/>
        <v>8.91</v>
      </c>
      <c r="N371" t="str">
        <f t="shared" si="16"/>
        <v>Excelsa</v>
      </c>
      <c r="O371" t="str">
        <f t="shared" si="17"/>
        <v>Light</v>
      </c>
      <c r="P371" t="str">
        <f>_xlfn.XLOOKUP(Table1[[#This Row],[Customer ID]],customers!$A$1:$A$1001,customers!$I$1:$I$1001,,0)</f>
        <v>Yes</v>
      </c>
    </row>
    <row r="372" spans="1:16" x14ac:dyDescent="0.2">
      <c r="A372" s="2" t="s">
        <v>2573</v>
      </c>
      <c r="B372" s="3">
        <v>43501</v>
      </c>
      <c r="C372" s="2" t="s">
        <v>2574</v>
      </c>
      <c r="D372" t="s">
        <v>6183</v>
      </c>
      <c r="E372" s="2">
        <v>2</v>
      </c>
      <c r="F372" s="2" t="str">
        <f>_xlfn.XLOOKUP(C372,customers!$A371:$A1371,customers!$B371:$B1371,,0)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5">
        <f>INDEX(products!$A$1:$G$49,MATCH(orders!$D372,products!$A$1:$A$49,0),MATCH(orders!K$1,products!$A$1:$G$1,0))</f>
        <v>1</v>
      </c>
      <c r="L372" s="7">
        <f>INDEX(products!$A$1:$G$49,MATCH(orders!$D372,products!$A$1:$A$49,0),MATCH(orders!L$1,products!$A$1:$G$1,0))</f>
        <v>12.15</v>
      </c>
      <c r="M372" s="7">
        <f t="shared" si="15"/>
        <v>24.3</v>
      </c>
      <c r="N372" t="str">
        <f t="shared" si="16"/>
        <v>Excelsa</v>
      </c>
      <c r="O372" t="str">
        <f t="shared" si="17"/>
        <v>Dark</v>
      </c>
      <c r="P372" t="str">
        <f>_xlfn.XLOOKUP(Table1[[#This Row],[Customer ID]],customers!$A$1:$A$1001,customers!$I$1:$I$1001,,0)</f>
        <v>Yes</v>
      </c>
    </row>
    <row r="373" spans="1:16" x14ac:dyDescent="0.2">
      <c r="A373" s="2" t="s">
        <v>2579</v>
      </c>
      <c r="B373" s="3">
        <v>44705</v>
      </c>
      <c r="C373" s="2" t="s">
        <v>2580</v>
      </c>
      <c r="D373" t="s">
        <v>6180</v>
      </c>
      <c r="E373" s="2">
        <v>6</v>
      </c>
      <c r="F373" s="2" t="str">
        <f>_xlfn.XLOOKUP(C373,customers!$A372:$A1372,customers!$B372:$B1372,,0)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5">
        <f>INDEX(products!$A$1:$G$49,MATCH(orders!$D373,products!$A$1:$A$49,0),MATCH(orders!K$1,products!$A$1:$G$1,0))</f>
        <v>0.5</v>
      </c>
      <c r="L373" s="7">
        <f>INDEX(products!$A$1:$G$49,MATCH(orders!$D373,products!$A$1:$A$49,0),MATCH(orders!L$1,products!$A$1:$G$1,0))</f>
        <v>7.77</v>
      </c>
      <c r="M373" s="7">
        <f t="shared" si="15"/>
        <v>46.62</v>
      </c>
      <c r="N373" t="str">
        <f t="shared" si="16"/>
        <v>Arabica</v>
      </c>
      <c r="O373" t="str">
        <f t="shared" si="17"/>
        <v>Light</v>
      </c>
      <c r="P373" t="str">
        <f>_xlfn.XLOOKUP(Table1[[#This Row],[Customer ID]],customers!$A$1:$A$1001,customers!$I$1:$I$1001,,0)</f>
        <v>Yes</v>
      </c>
    </row>
    <row r="374" spans="1:16" x14ac:dyDescent="0.2">
      <c r="A374" s="2" t="s">
        <v>2585</v>
      </c>
      <c r="B374" s="3">
        <v>44108</v>
      </c>
      <c r="C374" s="2" t="s">
        <v>2586</v>
      </c>
      <c r="D374" t="s">
        <v>6173</v>
      </c>
      <c r="E374" s="2">
        <v>6</v>
      </c>
      <c r="F374" s="2" t="str">
        <f>_xlfn.XLOOKUP(C374,customers!$A373:$A1373,customers!$B373:$B1373,,0)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5">
        <f>INDEX(products!$A$1:$G$49,MATCH(orders!$D374,products!$A$1:$A$49,0),MATCH(orders!K$1,products!$A$1:$G$1,0))</f>
        <v>0.5</v>
      </c>
      <c r="L374" s="7">
        <f>INDEX(products!$A$1:$G$49,MATCH(orders!$D374,products!$A$1:$A$49,0),MATCH(orders!L$1,products!$A$1:$G$1,0))</f>
        <v>7.169999999999999</v>
      </c>
      <c r="M374" s="7">
        <f t="shared" si="15"/>
        <v>43.019999999999996</v>
      </c>
      <c r="N374" t="str">
        <f t="shared" si="16"/>
        <v>Robusta</v>
      </c>
      <c r="O374" t="str">
        <f t="shared" si="17"/>
        <v>Light</v>
      </c>
      <c r="P374" t="str">
        <f>_xlfn.XLOOKUP(Table1[[#This Row],[Customer ID]],customers!$A$1:$A$1001,customers!$I$1:$I$1001,,0)</f>
        <v>No</v>
      </c>
    </row>
    <row r="375" spans="1:16" x14ac:dyDescent="0.2">
      <c r="A375" s="2" t="s">
        <v>2591</v>
      </c>
      <c r="B375" s="3">
        <v>44742</v>
      </c>
      <c r="C375" s="2" t="s">
        <v>2592</v>
      </c>
      <c r="D375" t="s">
        <v>6158</v>
      </c>
      <c r="E375" s="2">
        <v>3</v>
      </c>
      <c r="F375" s="2" t="str">
        <f>_xlfn.XLOOKUP(C375,customers!$A374:$A1374,customers!$B374:$B1374,,0)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5">
        <f>INDEX(products!$A$1:$G$49,MATCH(orders!$D375,products!$A$1:$A$49,0),MATCH(orders!K$1,products!$A$1:$G$1,0))</f>
        <v>0.5</v>
      </c>
      <c r="L375" s="7">
        <f>INDEX(products!$A$1:$G$49,MATCH(orders!$D375,products!$A$1:$A$49,0),MATCH(orders!L$1,products!$A$1:$G$1,0))</f>
        <v>5.97</v>
      </c>
      <c r="M375" s="7">
        <f t="shared" si="15"/>
        <v>17.91</v>
      </c>
      <c r="N375" t="str">
        <f t="shared" si="16"/>
        <v>Arabica</v>
      </c>
      <c r="O375" t="str">
        <f t="shared" si="17"/>
        <v>Dark</v>
      </c>
      <c r="P375" t="str">
        <f>_xlfn.XLOOKUP(Table1[[#This Row],[Customer ID]],customers!$A$1:$A$1001,customers!$I$1:$I$1001,,0)</f>
        <v>Yes</v>
      </c>
    </row>
    <row r="376" spans="1:16" x14ac:dyDescent="0.2">
      <c r="A376" s="2" t="s">
        <v>2597</v>
      </c>
      <c r="B376" s="3">
        <v>44125</v>
      </c>
      <c r="C376" s="2" t="s">
        <v>2598</v>
      </c>
      <c r="D376" t="s">
        <v>6161</v>
      </c>
      <c r="E376" s="2">
        <v>4</v>
      </c>
      <c r="F376" s="2" t="str">
        <f>_xlfn.XLOOKUP(C376,customers!$A375:$A1375,customers!$B375:$B1375,,0)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5">
        <f>INDEX(products!$A$1:$G$49,MATCH(orders!$D376,products!$A$1:$A$49,0),MATCH(orders!K$1,products!$A$1:$G$1,0))</f>
        <v>0.5</v>
      </c>
      <c r="L376" s="7">
        <f>INDEX(products!$A$1:$G$49,MATCH(orders!$D376,products!$A$1:$A$49,0),MATCH(orders!L$1,products!$A$1:$G$1,0))</f>
        <v>9.51</v>
      </c>
      <c r="M376" s="7">
        <f t="shared" si="15"/>
        <v>38.04</v>
      </c>
      <c r="N376" t="str">
        <f t="shared" si="16"/>
        <v>Liberica</v>
      </c>
      <c r="O376" t="str">
        <f t="shared" si="17"/>
        <v>Light</v>
      </c>
      <c r="P376" t="str">
        <f>_xlfn.XLOOKUP(Table1[[#This Row],[Customer ID]],customers!$A$1:$A$1001,customers!$I$1:$I$1001,,0)</f>
        <v>Yes</v>
      </c>
    </row>
    <row r="377" spans="1:16" x14ac:dyDescent="0.2">
      <c r="A377" s="2" t="s">
        <v>2603</v>
      </c>
      <c r="B377" s="3">
        <v>44120</v>
      </c>
      <c r="C377" s="2" t="s">
        <v>2604</v>
      </c>
      <c r="D377" t="s">
        <v>6152</v>
      </c>
      <c r="E377" s="2">
        <v>2</v>
      </c>
      <c r="F377" s="2" t="str">
        <f>_xlfn.XLOOKUP(C377,customers!$A376:$A1376,customers!$B376:$B1376,,0)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5">
        <f>INDEX(products!$A$1:$G$49,MATCH(orders!$D377,products!$A$1:$A$49,0),MATCH(orders!K$1,products!$A$1:$G$1,0))</f>
        <v>0.2</v>
      </c>
      <c r="L377" s="7">
        <f>INDEX(products!$A$1:$G$49,MATCH(orders!$D377,products!$A$1:$A$49,0),MATCH(orders!L$1,products!$A$1:$G$1,0))</f>
        <v>3.375</v>
      </c>
      <c r="M377" s="7">
        <f t="shared" si="15"/>
        <v>6.75</v>
      </c>
      <c r="N377" t="str">
        <f t="shared" si="16"/>
        <v>Arabica</v>
      </c>
      <c r="O377" t="str">
        <f t="shared" si="17"/>
        <v>Medium</v>
      </c>
      <c r="P377" t="str">
        <f>_xlfn.XLOOKUP(Table1[[#This Row],[Customer ID]],customers!$A$1:$A$1001,customers!$I$1:$I$1001,,0)</f>
        <v>Yes</v>
      </c>
    </row>
    <row r="378" spans="1:16" x14ac:dyDescent="0.2">
      <c r="A378" s="2" t="s">
        <v>2609</v>
      </c>
      <c r="B378" s="3">
        <v>44097</v>
      </c>
      <c r="C378" s="2" t="s">
        <v>2610</v>
      </c>
      <c r="D378" t="s">
        <v>6146</v>
      </c>
      <c r="E378" s="2">
        <v>1</v>
      </c>
      <c r="F378" s="2" t="str">
        <f>_xlfn.XLOOKUP(C378,customers!$A377:$A1377,customers!$B377:$B1377,,0)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5">
        <f>INDEX(products!$A$1:$G$49,MATCH(orders!$D378,products!$A$1:$A$49,0),MATCH(orders!K$1,products!$A$1:$G$1,0))</f>
        <v>0.5</v>
      </c>
      <c r="L378" s="7">
        <f>INDEX(products!$A$1:$G$49,MATCH(orders!$D378,products!$A$1:$A$49,0),MATCH(orders!L$1,products!$A$1:$G$1,0))</f>
        <v>5.97</v>
      </c>
      <c r="M378" s="7">
        <f t="shared" si="15"/>
        <v>5.97</v>
      </c>
      <c r="N378" t="str">
        <f t="shared" si="16"/>
        <v>Robusta</v>
      </c>
      <c r="O378" t="str">
        <f t="shared" si="17"/>
        <v>Medium</v>
      </c>
      <c r="P378" t="str">
        <f>_xlfn.XLOOKUP(Table1[[#This Row],[Customer ID]],customers!$A$1:$A$1001,customers!$I$1:$I$1001,,0)</f>
        <v>Yes</v>
      </c>
    </row>
    <row r="379" spans="1:16" x14ac:dyDescent="0.2">
      <c r="A379" s="2" t="s">
        <v>2615</v>
      </c>
      <c r="B379" s="3">
        <v>43532</v>
      </c>
      <c r="C379" s="2" t="s">
        <v>2616</v>
      </c>
      <c r="D379" t="s">
        <v>6163</v>
      </c>
      <c r="E379" s="2">
        <v>3</v>
      </c>
      <c r="F379" s="2" t="str">
        <f>_xlfn.XLOOKUP(C379,customers!$A378:$A1378,customers!$B378:$B1378,,0)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5">
        <f>INDEX(products!$A$1:$G$49,MATCH(orders!$D379,products!$A$1:$A$49,0),MATCH(orders!K$1,products!$A$1:$G$1,0))</f>
        <v>0.2</v>
      </c>
      <c r="L379" s="7">
        <f>INDEX(products!$A$1:$G$49,MATCH(orders!$D379,products!$A$1:$A$49,0),MATCH(orders!L$1,products!$A$1:$G$1,0))</f>
        <v>2.6849999999999996</v>
      </c>
      <c r="M379" s="7">
        <f t="shared" si="15"/>
        <v>8.0549999999999997</v>
      </c>
      <c r="N379" t="str">
        <f t="shared" si="16"/>
        <v>Robusta</v>
      </c>
      <c r="O379" t="str">
        <f t="shared" si="17"/>
        <v>Dark</v>
      </c>
      <c r="P379" t="str">
        <f>_xlfn.XLOOKUP(Table1[[#This Row],[Customer ID]],customers!$A$1:$A$1001,customers!$I$1:$I$1001,,0)</f>
        <v>No</v>
      </c>
    </row>
    <row r="380" spans="1:16" x14ac:dyDescent="0.2">
      <c r="A380" s="2" t="s">
        <v>2621</v>
      </c>
      <c r="B380" s="3">
        <v>44377</v>
      </c>
      <c r="C380" s="2" t="s">
        <v>2622</v>
      </c>
      <c r="D380" t="s">
        <v>6180</v>
      </c>
      <c r="E380" s="2">
        <v>3</v>
      </c>
      <c r="F380" s="2" t="str">
        <f>_xlfn.XLOOKUP(C380,customers!$A379:$A1379,customers!$B379:$B1379,,0)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5">
        <f>INDEX(products!$A$1:$G$49,MATCH(orders!$D380,products!$A$1:$A$49,0),MATCH(orders!K$1,products!$A$1:$G$1,0))</f>
        <v>0.5</v>
      </c>
      <c r="L380" s="7">
        <f>INDEX(products!$A$1:$G$49,MATCH(orders!$D380,products!$A$1:$A$49,0),MATCH(orders!L$1,products!$A$1:$G$1,0))</f>
        <v>7.77</v>
      </c>
      <c r="M380" s="7">
        <f t="shared" si="15"/>
        <v>23.31</v>
      </c>
      <c r="N380" t="str">
        <f t="shared" si="16"/>
        <v>Arabica</v>
      </c>
      <c r="O380" t="str">
        <f t="shared" si="17"/>
        <v>Light</v>
      </c>
      <c r="P380" t="str">
        <f>_xlfn.XLOOKUP(Table1[[#This Row],[Customer ID]],customers!$A$1:$A$1001,customers!$I$1:$I$1001,,0)</f>
        <v>Yes</v>
      </c>
    </row>
    <row r="381" spans="1:16" x14ac:dyDescent="0.2">
      <c r="A381" s="2" t="s">
        <v>2627</v>
      </c>
      <c r="B381" s="3">
        <v>43690</v>
      </c>
      <c r="C381" s="2" t="s">
        <v>2628</v>
      </c>
      <c r="D381" t="s">
        <v>6173</v>
      </c>
      <c r="E381" s="2">
        <v>6</v>
      </c>
      <c r="F381" s="2" t="str">
        <f>_xlfn.XLOOKUP(C381,customers!$A380:$A1380,customers!$B380:$B1380,,0)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5">
        <f>INDEX(products!$A$1:$G$49,MATCH(orders!$D381,products!$A$1:$A$49,0),MATCH(orders!K$1,products!$A$1:$G$1,0))</f>
        <v>0.5</v>
      </c>
      <c r="L381" s="7">
        <f>INDEX(products!$A$1:$G$49,MATCH(orders!$D381,products!$A$1:$A$49,0),MATCH(orders!L$1,products!$A$1:$G$1,0))</f>
        <v>7.169999999999999</v>
      </c>
      <c r="M381" s="7">
        <f t="shared" si="15"/>
        <v>43.019999999999996</v>
      </c>
      <c r="N381" t="str">
        <f t="shared" si="16"/>
        <v>Robusta</v>
      </c>
      <c r="O381" t="str">
        <f t="shared" si="17"/>
        <v>Light</v>
      </c>
      <c r="P381" t="str">
        <f>_xlfn.XLOOKUP(Table1[[#This Row],[Customer ID]],customers!$A$1:$A$1001,customers!$I$1:$I$1001,,0)</f>
        <v>Yes</v>
      </c>
    </row>
    <row r="382" spans="1:16" x14ac:dyDescent="0.2">
      <c r="A382" s="2" t="s">
        <v>2632</v>
      </c>
      <c r="B382" s="3">
        <v>44249</v>
      </c>
      <c r="C382" s="2" t="s">
        <v>2331</v>
      </c>
      <c r="D382" t="s">
        <v>6169</v>
      </c>
      <c r="E382" s="2">
        <v>3</v>
      </c>
      <c r="F382" s="2" t="e">
        <f>_xlfn.XLOOKUP(C382,customers!$A381:$A1381,customers!$B381:$B1381,,0)</f>
        <v>#N/A</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5">
        <f>INDEX(products!$A$1:$G$49,MATCH(orders!$D382,products!$A$1:$A$49,0),MATCH(orders!K$1,products!$A$1:$G$1,0))</f>
        <v>0.5</v>
      </c>
      <c r="L382" s="7">
        <f>INDEX(products!$A$1:$G$49,MATCH(orders!$D382,products!$A$1:$A$49,0),MATCH(orders!L$1,products!$A$1:$G$1,0))</f>
        <v>7.77</v>
      </c>
      <c r="M382" s="7">
        <f t="shared" si="15"/>
        <v>23.31</v>
      </c>
      <c r="N382" t="str">
        <f t="shared" si="16"/>
        <v>Liberica</v>
      </c>
      <c r="O382" t="str">
        <f t="shared" si="17"/>
        <v>Dark</v>
      </c>
      <c r="P382" t="str">
        <f>_xlfn.XLOOKUP(Table1[[#This Row],[Customer ID]],customers!$A$1:$A$1001,customers!$I$1:$I$1001,,0)</f>
        <v>No</v>
      </c>
    </row>
    <row r="383" spans="1:16" x14ac:dyDescent="0.2">
      <c r="A383" s="2" t="s">
        <v>2638</v>
      </c>
      <c r="B383" s="3">
        <v>44646</v>
      </c>
      <c r="C383" s="2" t="s">
        <v>2639</v>
      </c>
      <c r="D383" t="s">
        <v>6154</v>
      </c>
      <c r="E383" s="2">
        <v>5</v>
      </c>
      <c r="F383" s="2" t="str">
        <f>_xlfn.XLOOKUP(C383,customers!$A382:$A1382,customers!$B382:$B1382,,0)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5">
        <f>INDEX(products!$A$1:$G$49,MATCH(orders!$D383,products!$A$1:$A$49,0),MATCH(orders!K$1,products!$A$1:$G$1,0))</f>
        <v>0.2</v>
      </c>
      <c r="L383" s="7">
        <f>INDEX(products!$A$1:$G$49,MATCH(orders!$D383,products!$A$1:$A$49,0),MATCH(orders!L$1,products!$A$1:$G$1,0))</f>
        <v>2.9849999999999999</v>
      </c>
      <c r="M383" s="7">
        <f t="shared" si="15"/>
        <v>14.924999999999999</v>
      </c>
      <c r="N383" t="str">
        <f t="shared" si="16"/>
        <v>Arabica</v>
      </c>
      <c r="O383" t="str">
        <f t="shared" si="17"/>
        <v>Dark</v>
      </c>
      <c r="P383" t="str">
        <f>_xlfn.XLOOKUP(Table1[[#This Row],[Customer ID]],customers!$A$1:$A$1001,customers!$I$1:$I$1001,,0)</f>
        <v>Yes</v>
      </c>
    </row>
    <row r="384" spans="1:16" x14ac:dyDescent="0.2">
      <c r="A384" s="2" t="s">
        <v>2644</v>
      </c>
      <c r="B384" s="3">
        <v>43840</v>
      </c>
      <c r="C384" s="2" t="s">
        <v>2645</v>
      </c>
      <c r="D384" t="s">
        <v>6144</v>
      </c>
      <c r="E384" s="2">
        <v>3</v>
      </c>
      <c r="F384" s="2" t="str">
        <f>_xlfn.XLOOKUP(C384,customers!$A383:$A1383,customers!$B383:$B1383,,0)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5">
        <f>INDEX(products!$A$1:$G$49,MATCH(orders!$D384,products!$A$1:$A$49,0),MATCH(orders!K$1,products!$A$1:$G$1,0))</f>
        <v>0.5</v>
      </c>
      <c r="L384" s="7">
        <f>INDEX(products!$A$1:$G$49,MATCH(orders!$D384,products!$A$1:$A$49,0),MATCH(orders!L$1,products!$A$1:$G$1,0))</f>
        <v>7.29</v>
      </c>
      <c r="M384" s="7">
        <f t="shared" si="15"/>
        <v>21.87</v>
      </c>
      <c r="N384" t="str">
        <f t="shared" si="16"/>
        <v>Excelsa</v>
      </c>
      <c r="O384" t="str">
        <f t="shared" si="17"/>
        <v>Dark</v>
      </c>
      <c r="P384" t="str">
        <f>_xlfn.XLOOKUP(Table1[[#This Row],[Customer ID]],customers!$A$1:$A$1001,customers!$I$1:$I$1001,,0)</f>
        <v>No</v>
      </c>
    </row>
    <row r="385" spans="1:16" x14ac:dyDescent="0.2">
      <c r="A385" s="2" t="s">
        <v>2650</v>
      </c>
      <c r="B385" s="3">
        <v>43586</v>
      </c>
      <c r="C385" s="2" t="s">
        <v>2651</v>
      </c>
      <c r="D385" t="s">
        <v>6176</v>
      </c>
      <c r="E385" s="2">
        <v>6</v>
      </c>
      <c r="F385" s="2" t="str">
        <f>_xlfn.XLOOKUP(C385,customers!$A384:$A1384,customers!$B384:$B1384,,0)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5">
        <f>INDEX(products!$A$1:$G$49,MATCH(orders!$D385,products!$A$1:$A$49,0),MATCH(orders!K$1,products!$A$1:$G$1,0))</f>
        <v>0.5</v>
      </c>
      <c r="L385" s="7">
        <f>INDEX(products!$A$1:$G$49,MATCH(orders!$D385,products!$A$1:$A$49,0),MATCH(orders!L$1,products!$A$1:$G$1,0))</f>
        <v>8.91</v>
      </c>
      <c r="M385" s="7">
        <f t="shared" si="15"/>
        <v>53.46</v>
      </c>
      <c r="N385" t="str">
        <f t="shared" si="16"/>
        <v>Excelsa</v>
      </c>
      <c r="O385" t="str">
        <f t="shared" si="17"/>
        <v>Light</v>
      </c>
      <c r="P385" t="str">
        <f>_xlfn.XLOOKUP(Table1[[#This Row],[Customer ID]],customers!$A$1:$A$1001,customers!$I$1:$I$1001,,0)</f>
        <v>Yes</v>
      </c>
    </row>
    <row r="386" spans="1:16" x14ac:dyDescent="0.2">
      <c r="A386" s="2" t="s">
        <v>2655</v>
      </c>
      <c r="B386" s="3">
        <v>43870</v>
      </c>
      <c r="C386" s="2" t="s">
        <v>2656</v>
      </c>
      <c r="D386" t="s">
        <v>6182</v>
      </c>
      <c r="E386" s="2">
        <v>4</v>
      </c>
      <c r="F386" s="2" t="str">
        <f>_xlfn.XLOOKUP(C386,customers!$A385:$A1385,customers!$B385:$B1385,,0)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5">
        <f>INDEX(products!$A$1:$G$49,MATCH(orders!$D386,products!$A$1:$A$49,0),MATCH(orders!K$1,products!$A$1:$G$1,0))</f>
        <v>2.5</v>
      </c>
      <c r="L386" s="7">
        <f>INDEX(products!$A$1:$G$49,MATCH(orders!$D386,products!$A$1:$A$49,0),MATCH(orders!L$1,products!$A$1:$G$1,0))</f>
        <v>29.784999999999997</v>
      </c>
      <c r="M386" s="7">
        <f t="shared" si="15"/>
        <v>119.13999999999999</v>
      </c>
      <c r="N386" t="str">
        <f t="shared" si="16"/>
        <v>Arabica</v>
      </c>
      <c r="O386" t="str">
        <f t="shared" si="17"/>
        <v>Light</v>
      </c>
      <c r="P386" t="str">
        <f>_xlfn.XLOOKUP(Table1[[#This Row],[Customer ID]],customers!$A$1:$A$1001,customers!$I$1:$I$1001,,0)</f>
        <v>No</v>
      </c>
    </row>
    <row r="387" spans="1:16" x14ac:dyDescent="0.2">
      <c r="A387" s="2" t="s">
        <v>2660</v>
      </c>
      <c r="B387" s="3">
        <v>44559</v>
      </c>
      <c r="C387" s="2" t="s">
        <v>2661</v>
      </c>
      <c r="D387" t="s">
        <v>6160</v>
      </c>
      <c r="E387" s="2">
        <v>5</v>
      </c>
      <c r="F387" s="2" t="str">
        <f>_xlfn.XLOOKUP(C387,customers!$A386:$A1386,customers!$B386:$B1386,,0)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5">
        <f>INDEX(products!$A$1:$G$49,MATCH(orders!$D387,products!$A$1:$A$49,0),MATCH(orders!K$1,products!$A$1:$G$1,0))</f>
        <v>0.5</v>
      </c>
      <c r="L387" s="7">
        <f>INDEX(products!$A$1:$G$49,MATCH(orders!$D387,products!$A$1:$A$49,0),MATCH(orders!L$1,products!$A$1:$G$1,0))</f>
        <v>8.73</v>
      </c>
      <c r="M387" s="7">
        <f t="shared" ref="M387:M450" si="18">L387*E387</f>
        <v>43.650000000000006</v>
      </c>
      <c r="N387" t="str">
        <f t="shared" ref="N387:N450" si="19">IF(I387="Rob","Robusta",IF(I387="Ara","Arabica",IF(I387="Exc","Excelsa",IF(I387="Lib","Liberica",""))))</f>
        <v>Liberica</v>
      </c>
      <c r="O387" t="str">
        <f t="shared" ref="O387:O450" si="20">IF(J387="M","Medium",IF(J387="L","Light",IF(J387="D","Dark","")))</f>
        <v>Medium</v>
      </c>
      <c r="P387" t="str">
        <f>_xlfn.XLOOKUP(Table1[[#This Row],[Customer ID]],customers!$A$1:$A$1001,customers!$I$1:$I$1001,,0)</f>
        <v>Yes</v>
      </c>
    </row>
    <row r="388" spans="1:16" x14ac:dyDescent="0.2">
      <c r="A388" s="2" t="s">
        <v>2666</v>
      </c>
      <c r="B388" s="3">
        <v>44083</v>
      </c>
      <c r="C388" s="2" t="s">
        <v>2667</v>
      </c>
      <c r="D388" t="s">
        <v>6154</v>
      </c>
      <c r="E388" s="2">
        <v>6</v>
      </c>
      <c r="F388" s="2" t="str">
        <f>_xlfn.XLOOKUP(C388,customers!$A387:$A1387,customers!$B387:$B1387,,0)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5">
        <f>INDEX(products!$A$1:$G$49,MATCH(orders!$D388,products!$A$1:$A$49,0),MATCH(orders!K$1,products!$A$1:$G$1,0))</f>
        <v>0.2</v>
      </c>
      <c r="L388" s="7">
        <f>INDEX(products!$A$1:$G$49,MATCH(orders!$D388,products!$A$1:$A$49,0),MATCH(orders!L$1,products!$A$1:$G$1,0))</f>
        <v>2.9849999999999999</v>
      </c>
      <c r="M388" s="7">
        <f t="shared" si="18"/>
        <v>17.91</v>
      </c>
      <c r="N388" t="str">
        <f t="shared" si="19"/>
        <v>Arabica</v>
      </c>
      <c r="O388" t="str">
        <f t="shared" si="20"/>
        <v>Dark</v>
      </c>
      <c r="P388" t="str">
        <f>_xlfn.XLOOKUP(Table1[[#This Row],[Customer ID]],customers!$A$1:$A$1001,customers!$I$1:$I$1001,,0)</f>
        <v>Yes</v>
      </c>
    </row>
    <row r="389" spans="1:16" x14ac:dyDescent="0.2">
      <c r="A389" s="2" t="s">
        <v>2671</v>
      </c>
      <c r="B389" s="3">
        <v>44455</v>
      </c>
      <c r="C389" s="2" t="s">
        <v>2672</v>
      </c>
      <c r="D389" t="s">
        <v>6171</v>
      </c>
      <c r="E389" s="2">
        <v>5</v>
      </c>
      <c r="F389" s="2" t="str">
        <f>_xlfn.XLOOKUP(C389,customers!$A388:$A1388,customers!$B388:$B1388,,0)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5">
        <f>INDEX(products!$A$1:$G$49,MATCH(orders!$D389,products!$A$1:$A$49,0),MATCH(orders!K$1,products!$A$1:$G$1,0))</f>
        <v>1</v>
      </c>
      <c r="L389" s="7">
        <f>INDEX(products!$A$1:$G$49,MATCH(orders!$D389,products!$A$1:$A$49,0),MATCH(orders!L$1,products!$A$1:$G$1,0))</f>
        <v>14.85</v>
      </c>
      <c r="M389" s="7">
        <f t="shared" si="18"/>
        <v>74.25</v>
      </c>
      <c r="N389" t="str">
        <f t="shared" si="19"/>
        <v>Excelsa</v>
      </c>
      <c r="O389" t="str">
        <f t="shared" si="20"/>
        <v>Light</v>
      </c>
      <c r="P389" t="str">
        <f>_xlfn.XLOOKUP(Table1[[#This Row],[Customer ID]],customers!$A$1:$A$1001,customers!$I$1:$I$1001,,0)</f>
        <v>Yes</v>
      </c>
    </row>
    <row r="390" spans="1:16" x14ac:dyDescent="0.2">
      <c r="A390" s="2" t="s">
        <v>2677</v>
      </c>
      <c r="B390" s="3">
        <v>44130</v>
      </c>
      <c r="C390" s="2" t="s">
        <v>2678</v>
      </c>
      <c r="D390" t="s">
        <v>6150</v>
      </c>
      <c r="E390" s="2">
        <v>3</v>
      </c>
      <c r="F390" s="2" t="str">
        <f>_xlfn.XLOOKUP(C390,customers!$A389:$A1389,customers!$B389:$B1389,,0)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5">
        <f>INDEX(products!$A$1:$G$49,MATCH(orders!$D390,products!$A$1:$A$49,0),MATCH(orders!K$1,products!$A$1:$G$1,0))</f>
        <v>0.2</v>
      </c>
      <c r="L390" s="7">
        <f>INDEX(products!$A$1:$G$49,MATCH(orders!$D390,products!$A$1:$A$49,0),MATCH(orders!L$1,products!$A$1:$G$1,0))</f>
        <v>3.8849999999999998</v>
      </c>
      <c r="M390" s="7">
        <f t="shared" si="18"/>
        <v>11.654999999999999</v>
      </c>
      <c r="N390" t="str">
        <f t="shared" si="19"/>
        <v>Liberica</v>
      </c>
      <c r="O390" t="str">
        <f t="shared" si="20"/>
        <v>Dark</v>
      </c>
      <c r="P390" t="str">
        <f>_xlfn.XLOOKUP(Table1[[#This Row],[Customer ID]],customers!$A$1:$A$1001,customers!$I$1:$I$1001,,0)</f>
        <v>Yes</v>
      </c>
    </row>
    <row r="391" spans="1:16" x14ac:dyDescent="0.2">
      <c r="A391" s="2" t="s">
        <v>2683</v>
      </c>
      <c r="B391" s="3">
        <v>43536</v>
      </c>
      <c r="C391" s="2" t="s">
        <v>2684</v>
      </c>
      <c r="D391" t="s">
        <v>6169</v>
      </c>
      <c r="E391" s="2">
        <v>3</v>
      </c>
      <c r="F391" s="2" t="str">
        <f>_xlfn.XLOOKUP(C391,customers!$A390:$A1390,customers!$B390:$B1390,,0)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5">
        <f>INDEX(products!$A$1:$G$49,MATCH(orders!$D391,products!$A$1:$A$49,0),MATCH(orders!K$1,products!$A$1:$G$1,0))</f>
        <v>0.5</v>
      </c>
      <c r="L391" s="7">
        <f>INDEX(products!$A$1:$G$49,MATCH(orders!$D391,products!$A$1:$A$49,0),MATCH(orders!L$1,products!$A$1:$G$1,0))</f>
        <v>7.77</v>
      </c>
      <c r="M391" s="7">
        <f t="shared" si="18"/>
        <v>23.31</v>
      </c>
      <c r="N391" t="str">
        <f t="shared" si="19"/>
        <v>Liberica</v>
      </c>
      <c r="O391" t="str">
        <f t="shared" si="20"/>
        <v>Dark</v>
      </c>
      <c r="P391" t="str">
        <f>_xlfn.XLOOKUP(Table1[[#This Row],[Customer ID]],customers!$A$1:$A$1001,customers!$I$1:$I$1001,,0)</f>
        <v>Yes</v>
      </c>
    </row>
    <row r="392" spans="1:16" x14ac:dyDescent="0.2">
      <c r="A392" s="2" t="s">
        <v>2689</v>
      </c>
      <c r="B392" s="3">
        <v>44245</v>
      </c>
      <c r="C392" s="2" t="s">
        <v>2690</v>
      </c>
      <c r="D392" t="s">
        <v>6144</v>
      </c>
      <c r="E392" s="2">
        <v>2</v>
      </c>
      <c r="F392" s="2" t="str">
        <f>_xlfn.XLOOKUP(C392,customers!$A391:$A1391,customers!$B391:$B1391,,0)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5">
        <f>INDEX(products!$A$1:$G$49,MATCH(orders!$D392,products!$A$1:$A$49,0),MATCH(orders!K$1,products!$A$1:$G$1,0))</f>
        <v>0.5</v>
      </c>
      <c r="L392" s="7">
        <f>INDEX(products!$A$1:$G$49,MATCH(orders!$D392,products!$A$1:$A$49,0),MATCH(orders!L$1,products!$A$1:$G$1,0))</f>
        <v>7.29</v>
      </c>
      <c r="M392" s="7">
        <f t="shared" si="18"/>
        <v>14.58</v>
      </c>
      <c r="N392" t="str">
        <f t="shared" si="19"/>
        <v>Excelsa</v>
      </c>
      <c r="O392" t="str">
        <f t="shared" si="20"/>
        <v>Dark</v>
      </c>
      <c r="P392" t="str">
        <f>_xlfn.XLOOKUP(Table1[[#This Row],[Customer ID]],customers!$A$1:$A$1001,customers!$I$1:$I$1001,,0)</f>
        <v>Yes</v>
      </c>
    </row>
    <row r="393" spans="1:16" x14ac:dyDescent="0.2">
      <c r="A393" s="2" t="s">
        <v>2694</v>
      </c>
      <c r="B393" s="3">
        <v>44133</v>
      </c>
      <c r="C393" s="2" t="s">
        <v>2695</v>
      </c>
      <c r="D393" t="s">
        <v>6157</v>
      </c>
      <c r="E393" s="2">
        <v>2</v>
      </c>
      <c r="F393" s="2" t="str">
        <f>_xlfn.XLOOKUP(C393,customers!$A392:$A1392,customers!$B392:$B1392,,0)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5">
        <f>INDEX(products!$A$1:$G$49,MATCH(orders!$D393,products!$A$1:$A$49,0),MATCH(orders!K$1,products!$A$1:$G$1,0))</f>
        <v>0.5</v>
      </c>
      <c r="L393" s="7">
        <f>INDEX(products!$A$1:$G$49,MATCH(orders!$D393,products!$A$1:$A$49,0),MATCH(orders!L$1,products!$A$1:$G$1,0))</f>
        <v>6.75</v>
      </c>
      <c r="M393" s="7">
        <f t="shared" si="18"/>
        <v>13.5</v>
      </c>
      <c r="N393" t="str">
        <f t="shared" si="19"/>
        <v>Arabica</v>
      </c>
      <c r="O393" t="str">
        <f t="shared" si="20"/>
        <v>Medium</v>
      </c>
      <c r="P393" t="str">
        <f>_xlfn.XLOOKUP(Table1[[#This Row],[Customer ID]],customers!$A$1:$A$1001,customers!$I$1:$I$1001,,0)</f>
        <v>No</v>
      </c>
    </row>
    <row r="394" spans="1:16" x14ac:dyDescent="0.2">
      <c r="A394" s="2" t="s">
        <v>2699</v>
      </c>
      <c r="B394" s="3">
        <v>44445</v>
      </c>
      <c r="C394" s="2" t="s">
        <v>2700</v>
      </c>
      <c r="D394" t="s">
        <v>6171</v>
      </c>
      <c r="E394" s="2">
        <v>6</v>
      </c>
      <c r="F394" s="2" t="str">
        <f>_xlfn.XLOOKUP(C394,customers!$A393:$A1393,customers!$B393:$B1393,,0)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5">
        <f>INDEX(products!$A$1:$G$49,MATCH(orders!$D394,products!$A$1:$A$49,0),MATCH(orders!K$1,products!$A$1:$G$1,0))</f>
        <v>1</v>
      </c>
      <c r="L394" s="7">
        <f>INDEX(products!$A$1:$G$49,MATCH(orders!$D394,products!$A$1:$A$49,0),MATCH(orders!L$1,products!$A$1:$G$1,0))</f>
        <v>14.85</v>
      </c>
      <c r="M394" s="7">
        <f t="shared" si="18"/>
        <v>89.1</v>
      </c>
      <c r="N394" t="str">
        <f t="shared" si="19"/>
        <v>Excelsa</v>
      </c>
      <c r="O394" t="str">
        <f t="shared" si="20"/>
        <v>Light</v>
      </c>
      <c r="P394" t="str">
        <f>_xlfn.XLOOKUP(Table1[[#This Row],[Customer ID]],customers!$A$1:$A$1001,customers!$I$1:$I$1001,,0)</f>
        <v>No</v>
      </c>
    </row>
    <row r="395" spans="1:16" x14ac:dyDescent="0.2">
      <c r="A395" s="2" t="s">
        <v>2699</v>
      </c>
      <c r="B395" s="3">
        <v>44445</v>
      </c>
      <c r="C395" s="2" t="s">
        <v>2700</v>
      </c>
      <c r="D395" t="s">
        <v>6167</v>
      </c>
      <c r="E395" s="2">
        <v>1</v>
      </c>
      <c r="F395" s="2" t="str">
        <f>_xlfn.XLOOKUP(C395,customers!$A394:$A1394,customers!$B394:$B1394,,0)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5">
        <f>INDEX(products!$A$1:$G$49,MATCH(orders!$D395,products!$A$1:$A$49,0),MATCH(orders!K$1,products!$A$1:$G$1,0))</f>
        <v>0.2</v>
      </c>
      <c r="L395" s="7">
        <f>INDEX(products!$A$1:$G$49,MATCH(orders!$D395,products!$A$1:$A$49,0),MATCH(orders!L$1,products!$A$1:$G$1,0))</f>
        <v>3.8849999999999998</v>
      </c>
      <c r="M395" s="7">
        <f t="shared" si="18"/>
        <v>3.8849999999999998</v>
      </c>
      <c r="N395" t="str">
        <f t="shared" si="19"/>
        <v>Arabica</v>
      </c>
      <c r="O395" t="str">
        <f t="shared" si="20"/>
        <v>Light</v>
      </c>
      <c r="P395" t="str">
        <f>_xlfn.XLOOKUP(Table1[[#This Row],[Customer ID]],customers!$A$1:$A$1001,customers!$I$1:$I$1001,,0)</f>
        <v>No</v>
      </c>
    </row>
    <row r="396" spans="1:16" x14ac:dyDescent="0.2">
      <c r="A396" s="2" t="s">
        <v>2710</v>
      </c>
      <c r="B396" s="3">
        <v>44083</v>
      </c>
      <c r="C396" s="2" t="s">
        <v>2711</v>
      </c>
      <c r="D396" t="s">
        <v>6142</v>
      </c>
      <c r="E396" s="2">
        <v>4</v>
      </c>
      <c r="F396" s="2" t="str">
        <f>_xlfn.XLOOKUP(C396,customers!$A395:$A1395,customers!$B395:$B1395,,0)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5">
        <f>INDEX(products!$A$1:$G$49,MATCH(orders!$D396,products!$A$1:$A$49,0),MATCH(orders!K$1,products!$A$1:$G$1,0))</f>
        <v>2.5</v>
      </c>
      <c r="L396" s="7">
        <f>INDEX(products!$A$1:$G$49,MATCH(orders!$D396,products!$A$1:$A$49,0),MATCH(orders!L$1,products!$A$1:$G$1,0))</f>
        <v>27.484999999999996</v>
      </c>
      <c r="M396" s="7">
        <f t="shared" si="18"/>
        <v>109.93999999999998</v>
      </c>
      <c r="N396" t="str">
        <f t="shared" si="19"/>
        <v>Robusta</v>
      </c>
      <c r="O396" t="str">
        <f t="shared" si="20"/>
        <v>Light</v>
      </c>
      <c r="P396" t="str">
        <f>_xlfn.XLOOKUP(Table1[[#This Row],[Customer ID]],customers!$A$1:$A$1001,customers!$I$1:$I$1001,,0)</f>
        <v>No</v>
      </c>
    </row>
    <row r="397" spans="1:16" x14ac:dyDescent="0.2">
      <c r="A397" s="2" t="s">
        <v>2716</v>
      </c>
      <c r="B397" s="3">
        <v>44465</v>
      </c>
      <c r="C397" s="2" t="s">
        <v>2717</v>
      </c>
      <c r="D397" t="s">
        <v>6169</v>
      </c>
      <c r="E397" s="2">
        <v>6</v>
      </c>
      <c r="F397" s="2" t="str">
        <f>_xlfn.XLOOKUP(C397,customers!$A396:$A1396,customers!$B396:$B1396,,0)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5">
        <f>INDEX(products!$A$1:$G$49,MATCH(orders!$D397,products!$A$1:$A$49,0),MATCH(orders!K$1,products!$A$1:$G$1,0))</f>
        <v>0.5</v>
      </c>
      <c r="L397" s="7">
        <f>INDEX(products!$A$1:$G$49,MATCH(orders!$D397,products!$A$1:$A$49,0),MATCH(orders!L$1,products!$A$1:$G$1,0))</f>
        <v>7.77</v>
      </c>
      <c r="M397" s="7">
        <f t="shared" si="18"/>
        <v>46.62</v>
      </c>
      <c r="N397" t="str">
        <f t="shared" si="19"/>
        <v>Liberica</v>
      </c>
      <c r="O397" t="str">
        <f t="shared" si="20"/>
        <v>Dark</v>
      </c>
      <c r="P397" t="str">
        <f>_xlfn.XLOOKUP(Table1[[#This Row],[Customer ID]],customers!$A$1:$A$1001,customers!$I$1:$I$1001,,0)</f>
        <v>Yes</v>
      </c>
    </row>
    <row r="398" spans="1:16" x14ac:dyDescent="0.2">
      <c r="A398" s="2" t="s">
        <v>2721</v>
      </c>
      <c r="B398" s="3">
        <v>44140</v>
      </c>
      <c r="C398" s="2" t="s">
        <v>2722</v>
      </c>
      <c r="D398" t="s">
        <v>6180</v>
      </c>
      <c r="E398" s="2">
        <v>5</v>
      </c>
      <c r="F398" s="2" t="str">
        <f>_xlfn.XLOOKUP(C398,customers!$A397:$A1397,customers!$B397:$B1397,,0)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5">
        <f>INDEX(products!$A$1:$G$49,MATCH(orders!$D398,products!$A$1:$A$49,0),MATCH(orders!K$1,products!$A$1:$G$1,0))</f>
        <v>0.5</v>
      </c>
      <c r="L398" s="7">
        <f>INDEX(products!$A$1:$G$49,MATCH(orders!$D398,products!$A$1:$A$49,0),MATCH(orders!L$1,products!$A$1:$G$1,0))</f>
        <v>7.77</v>
      </c>
      <c r="M398" s="7">
        <f t="shared" si="18"/>
        <v>38.849999999999994</v>
      </c>
      <c r="N398" t="str">
        <f t="shared" si="19"/>
        <v>Arabica</v>
      </c>
      <c r="O398" t="str">
        <f t="shared" si="20"/>
        <v>Light</v>
      </c>
      <c r="P398" t="str">
        <f>_xlfn.XLOOKUP(Table1[[#This Row],[Customer ID]],customers!$A$1:$A$1001,customers!$I$1:$I$1001,,0)</f>
        <v>No</v>
      </c>
    </row>
    <row r="399" spans="1:16" x14ac:dyDescent="0.2">
      <c r="A399" s="2" t="s">
        <v>2727</v>
      </c>
      <c r="B399" s="3">
        <v>43720</v>
      </c>
      <c r="C399" s="2" t="s">
        <v>2728</v>
      </c>
      <c r="D399" t="s">
        <v>6169</v>
      </c>
      <c r="E399" s="2">
        <v>4</v>
      </c>
      <c r="F399" s="2" t="str">
        <f>_xlfn.XLOOKUP(C399,customers!$A398:$A1398,customers!$B398:$B1398,,0)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5">
        <f>INDEX(products!$A$1:$G$49,MATCH(orders!$D399,products!$A$1:$A$49,0),MATCH(orders!K$1,products!$A$1:$G$1,0))</f>
        <v>0.5</v>
      </c>
      <c r="L399" s="7">
        <f>INDEX(products!$A$1:$G$49,MATCH(orders!$D399,products!$A$1:$A$49,0),MATCH(orders!L$1,products!$A$1:$G$1,0))</f>
        <v>7.77</v>
      </c>
      <c r="M399" s="7">
        <f t="shared" si="18"/>
        <v>31.08</v>
      </c>
      <c r="N399" t="str">
        <f t="shared" si="19"/>
        <v>Liberica</v>
      </c>
      <c r="O399" t="str">
        <f t="shared" si="20"/>
        <v>Dark</v>
      </c>
      <c r="P399" t="str">
        <f>_xlfn.XLOOKUP(Table1[[#This Row],[Customer ID]],customers!$A$1:$A$1001,customers!$I$1:$I$1001,,0)</f>
        <v>Yes</v>
      </c>
    </row>
    <row r="400" spans="1:16" x14ac:dyDescent="0.2">
      <c r="A400" s="2" t="s">
        <v>2733</v>
      </c>
      <c r="B400" s="3">
        <v>43677</v>
      </c>
      <c r="C400" s="2" t="s">
        <v>2734</v>
      </c>
      <c r="D400" t="s">
        <v>6154</v>
      </c>
      <c r="E400" s="2">
        <v>6</v>
      </c>
      <c r="F400" s="2" t="str">
        <f>_xlfn.XLOOKUP(C400,customers!$A399:$A1399,customers!$B399:$B1399,,0)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5">
        <f>INDEX(products!$A$1:$G$49,MATCH(orders!$D400,products!$A$1:$A$49,0),MATCH(orders!K$1,products!$A$1:$G$1,0))</f>
        <v>0.2</v>
      </c>
      <c r="L400" s="7">
        <f>INDEX(products!$A$1:$G$49,MATCH(orders!$D400,products!$A$1:$A$49,0),MATCH(orders!L$1,products!$A$1:$G$1,0))</f>
        <v>2.9849999999999999</v>
      </c>
      <c r="M400" s="7">
        <f t="shared" si="18"/>
        <v>17.91</v>
      </c>
      <c r="N400" t="str">
        <f t="shared" si="19"/>
        <v>Arabica</v>
      </c>
      <c r="O400" t="str">
        <f t="shared" si="20"/>
        <v>Dark</v>
      </c>
      <c r="P400" t="str">
        <f>_xlfn.XLOOKUP(Table1[[#This Row],[Customer ID]],customers!$A$1:$A$1001,customers!$I$1:$I$1001,,0)</f>
        <v>Yes</v>
      </c>
    </row>
    <row r="401" spans="1:16" x14ac:dyDescent="0.2">
      <c r="A401" s="2" t="s">
        <v>2739</v>
      </c>
      <c r="B401" s="3">
        <v>43539</v>
      </c>
      <c r="C401" s="2" t="s">
        <v>2740</v>
      </c>
      <c r="D401" t="s">
        <v>6185</v>
      </c>
      <c r="E401" s="2">
        <v>6</v>
      </c>
      <c r="F401" s="2" t="str">
        <f>_xlfn.XLOOKUP(C401,customers!$A400:$A1400,customers!$B400:$B1400,,0)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5">
        <f>INDEX(products!$A$1:$G$49,MATCH(orders!$D401,products!$A$1:$A$49,0),MATCH(orders!K$1,products!$A$1:$G$1,0))</f>
        <v>2.5</v>
      </c>
      <c r="L401" s="7">
        <f>INDEX(products!$A$1:$G$49,MATCH(orders!$D401,products!$A$1:$A$49,0),MATCH(orders!L$1,products!$A$1:$G$1,0))</f>
        <v>27.945</v>
      </c>
      <c r="M401" s="7">
        <f t="shared" si="18"/>
        <v>167.67000000000002</v>
      </c>
      <c r="N401" t="str">
        <f t="shared" si="19"/>
        <v>Excelsa</v>
      </c>
      <c r="O401" t="str">
        <f t="shared" si="20"/>
        <v>Dark</v>
      </c>
      <c r="P401" t="str">
        <f>_xlfn.XLOOKUP(Table1[[#This Row],[Customer ID]],customers!$A$1:$A$1001,customers!$I$1:$I$1001,,0)</f>
        <v>No</v>
      </c>
    </row>
    <row r="402" spans="1:16" x14ac:dyDescent="0.2">
      <c r="A402" s="2" t="s">
        <v>2745</v>
      </c>
      <c r="B402" s="3">
        <v>44332</v>
      </c>
      <c r="C402" s="2" t="s">
        <v>2746</v>
      </c>
      <c r="D402" t="s">
        <v>6170</v>
      </c>
      <c r="E402" s="2">
        <v>4</v>
      </c>
      <c r="F402" s="2" t="str">
        <f>_xlfn.XLOOKUP(C402,customers!$A401:$A1401,customers!$B401:$B1401,,0)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5">
        <f>INDEX(products!$A$1:$G$49,MATCH(orders!$D402,products!$A$1:$A$49,0),MATCH(orders!K$1,products!$A$1:$G$1,0))</f>
        <v>1</v>
      </c>
      <c r="L402" s="7">
        <f>INDEX(products!$A$1:$G$49,MATCH(orders!$D402,products!$A$1:$A$49,0),MATCH(orders!L$1,products!$A$1:$G$1,0))</f>
        <v>15.85</v>
      </c>
      <c r="M402" s="7">
        <f t="shared" si="18"/>
        <v>63.4</v>
      </c>
      <c r="N402" t="str">
        <f t="shared" si="19"/>
        <v>Liberica</v>
      </c>
      <c r="O402" t="str">
        <f t="shared" si="20"/>
        <v>Light</v>
      </c>
      <c r="P402" t="str">
        <f>_xlfn.XLOOKUP(Table1[[#This Row],[Customer ID]],customers!$A$1:$A$1001,customers!$I$1:$I$1001,,0)</f>
        <v>No</v>
      </c>
    </row>
    <row r="403" spans="1:16" x14ac:dyDescent="0.2">
      <c r="A403" s="2" t="s">
        <v>2751</v>
      </c>
      <c r="B403" s="3">
        <v>43591</v>
      </c>
      <c r="C403" s="2" t="s">
        <v>2752</v>
      </c>
      <c r="D403" t="s">
        <v>6159</v>
      </c>
      <c r="E403" s="2">
        <v>2</v>
      </c>
      <c r="F403" s="2" t="str">
        <f>_xlfn.XLOOKUP(C403,customers!$A402:$A1402,customers!$B402:$B1402,,0)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5">
        <f>INDEX(products!$A$1:$G$49,MATCH(orders!$D403,products!$A$1:$A$49,0),MATCH(orders!K$1,products!$A$1:$G$1,0))</f>
        <v>0.2</v>
      </c>
      <c r="L403" s="7">
        <f>INDEX(products!$A$1:$G$49,MATCH(orders!$D403,products!$A$1:$A$49,0),MATCH(orders!L$1,products!$A$1:$G$1,0))</f>
        <v>4.3650000000000002</v>
      </c>
      <c r="M403" s="7">
        <f t="shared" si="18"/>
        <v>8.73</v>
      </c>
      <c r="N403" t="str">
        <f t="shared" si="19"/>
        <v>Liberica</v>
      </c>
      <c r="O403" t="str">
        <f t="shared" si="20"/>
        <v>Medium</v>
      </c>
      <c r="P403" t="str">
        <f>_xlfn.XLOOKUP(Table1[[#This Row],[Customer ID]],customers!$A$1:$A$1001,customers!$I$1:$I$1001,,0)</f>
        <v>Yes</v>
      </c>
    </row>
    <row r="404" spans="1:16" x14ac:dyDescent="0.2">
      <c r="A404" s="2" t="s">
        <v>2757</v>
      </c>
      <c r="B404" s="3">
        <v>43502</v>
      </c>
      <c r="C404" s="2" t="s">
        <v>2758</v>
      </c>
      <c r="D404" t="s">
        <v>6177</v>
      </c>
      <c r="E404" s="2">
        <v>3</v>
      </c>
      <c r="F404" s="2" t="str">
        <f>_xlfn.XLOOKUP(C404,customers!$A403:$A1403,customers!$B403:$B1403,,0)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5">
        <f>INDEX(products!$A$1:$G$49,MATCH(orders!$D404,products!$A$1:$A$49,0),MATCH(orders!K$1,products!$A$1:$G$1,0))</f>
        <v>1</v>
      </c>
      <c r="L404" s="7">
        <f>INDEX(products!$A$1:$G$49,MATCH(orders!$D404,products!$A$1:$A$49,0),MATCH(orders!L$1,products!$A$1:$G$1,0))</f>
        <v>8.9499999999999993</v>
      </c>
      <c r="M404" s="7">
        <f t="shared" si="18"/>
        <v>26.849999999999998</v>
      </c>
      <c r="N404" t="str">
        <f t="shared" si="19"/>
        <v>Robusta</v>
      </c>
      <c r="O404" t="str">
        <f t="shared" si="20"/>
        <v>Dark</v>
      </c>
      <c r="P404" t="str">
        <f>_xlfn.XLOOKUP(Table1[[#This Row],[Customer ID]],customers!$A$1:$A$1001,customers!$I$1:$I$1001,,0)</f>
        <v>Yes</v>
      </c>
    </row>
    <row r="405" spans="1:16" x14ac:dyDescent="0.2">
      <c r="A405" s="2" t="s">
        <v>2763</v>
      </c>
      <c r="B405" s="3">
        <v>44295</v>
      </c>
      <c r="C405" s="2" t="s">
        <v>2764</v>
      </c>
      <c r="D405" t="s">
        <v>6145</v>
      </c>
      <c r="E405" s="2">
        <v>2</v>
      </c>
      <c r="F405" s="2" t="str">
        <f>_xlfn.XLOOKUP(C405,customers!$A404:$A1404,customers!$B404:$B1404,,0)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5">
        <f>INDEX(products!$A$1:$G$49,MATCH(orders!$D405,products!$A$1:$A$49,0),MATCH(orders!K$1,products!$A$1:$G$1,0))</f>
        <v>0.2</v>
      </c>
      <c r="L405" s="7">
        <f>INDEX(products!$A$1:$G$49,MATCH(orders!$D405,products!$A$1:$A$49,0),MATCH(orders!L$1,products!$A$1:$G$1,0))</f>
        <v>4.7549999999999999</v>
      </c>
      <c r="M405" s="7">
        <f t="shared" si="18"/>
        <v>9.51</v>
      </c>
      <c r="N405" t="str">
        <f t="shared" si="19"/>
        <v>Liberica</v>
      </c>
      <c r="O405" t="str">
        <f t="shared" si="20"/>
        <v>Light</v>
      </c>
      <c r="P405" t="str">
        <f>_xlfn.XLOOKUP(Table1[[#This Row],[Customer ID]],customers!$A$1:$A$1001,customers!$I$1:$I$1001,,0)</f>
        <v>No</v>
      </c>
    </row>
    <row r="406" spans="1:16" x14ac:dyDescent="0.2">
      <c r="A406" s="2" t="s">
        <v>2769</v>
      </c>
      <c r="B406" s="3">
        <v>43971</v>
      </c>
      <c r="C406" s="2" t="s">
        <v>2770</v>
      </c>
      <c r="D406" t="s">
        <v>6147</v>
      </c>
      <c r="E406" s="2">
        <v>4</v>
      </c>
      <c r="F406" s="2" t="str">
        <f>_xlfn.XLOOKUP(C406,customers!$A405:$A1405,customers!$B405:$B1405,,0)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5">
        <f>INDEX(products!$A$1:$G$49,MATCH(orders!$D406,products!$A$1:$A$49,0),MATCH(orders!K$1,products!$A$1:$G$1,0))</f>
        <v>1</v>
      </c>
      <c r="L406" s="7">
        <f>INDEX(products!$A$1:$G$49,MATCH(orders!$D406,products!$A$1:$A$49,0),MATCH(orders!L$1,products!$A$1:$G$1,0))</f>
        <v>9.9499999999999993</v>
      </c>
      <c r="M406" s="7">
        <f t="shared" si="18"/>
        <v>39.799999999999997</v>
      </c>
      <c r="N406" t="str">
        <f t="shared" si="19"/>
        <v>Arabica</v>
      </c>
      <c r="O406" t="str">
        <f t="shared" si="20"/>
        <v>Dark</v>
      </c>
      <c r="P406" t="str">
        <f>_xlfn.XLOOKUP(Table1[[#This Row],[Customer ID]],customers!$A$1:$A$1001,customers!$I$1:$I$1001,,0)</f>
        <v>No</v>
      </c>
    </row>
    <row r="407" spans="1:16" x14ac:dyDescent="0.2">
      <c r="A407" s="2" t="s">
        <v>2775</v>
      </c>
      <c r="B407" s="3">
        <v>44167</v>
      </c>
      <c r="C407" s="2" t="s">
        <v>2776</v>
      </c>
      <c r="D407" t="s">
        <v>6139</v>
      </c>
      <c r="E407" s="2">
        <v>3</v>
      </c>
      <c r="F407" s="2" t="str">
        <f>_xlfn.XLOOKUP(C407,customers!$A406:$A1406,customers!$B406:$B1406,,0)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5">
        <f>INDEX(products!$A$1:$G$49,MATCH(orders!$D407,products!$A$1:$A$49,0),MATCH(orders!K$1,products!$A$1:$G$1,0))</f>
        <v>0.5</v>
      </c>
      <c r="L407" s="7">
        <f>INDEX(products!$A$1:$G$49,MATCH(orders!$D407,products!$A$1:$A$49,0),MATCH(orders!L$1,products!$A$1:$G$1,0))</f>
        <v>8.25</v>
      </c>
      <c r="M407" s="7">
        <f t="shared" si="18"/>
        <v>24.75</v>
      </c>
      <c r="N407" t="str">
        <f t="shared" si="19"/>
        <v>Excelsa</v>
      </c>
      <c r="O407" t="str">
        <f t="shared" si="20"/>
        <v>Medium</v>
      </c>
      <c r="P407" t="str">
        <f>_xlfn.XLOOKUP(Table1[[#This Row],[Customer ID]],customers!$A$1:$A$1001,customers!$I$1:$I$1001,,0)</f>
        <v>Yes</v>
      </c>
    </row>
    <row r="408" spans="1:16" x14ac:dyDescent="0.2">
      <c r="A408" s="2" t="s">
        <v>2781</v>
      </c>
      <c r="B408" s="3">
        <v>44416</v>
      </c>
      <c r="C408" s="2" t="s">
        <v>2782</v>
      </c>
      <c r="D408" t="s">
        <v>6141</v>
      </c>
      <c r="E408" s="2">
        <v>5</v>
      </c>
      <c r="F408" s="2" t="str">
        <f>_xlfn.XLOOKUP(C408,customers!$A407:$A1407,customers!$B407:$B1407,,0)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5">
        <f>INDEX(products!$A$1:$G$49,MATCH(orders!$D408,products!$A$1:$A$49,0),MATCH(orders!K$1,products!$A$1:$G$1,0))</f>
        <v>1</v>
      </c>
      <c r="L408" s="7">
        <f>INDEX(products!$A$1:$G$49,MATCH(orders!$D408,products!$A$1:$A$49,0),MATCH(orders!L$1,products!$A$1:$G$1,0))</f>
        <v>13.75</v>
      </c>
      <c r="M408" s="7">
        <f t="shared" si="18"/>
        <v>68.75</v>
      </c>
      <c r="N408" t="str">
        <f t="shared" si="19"/>
        <v>Excelsa</v>
      </c>
      <c r="O408" t="str">
        <f t="shared" si="20"/>
        <v>Medium</v>
      </c>
      <c r="P408" t="str">
        <f>_xlfn.XLOOKUP(Table1[[#This Row],[Customer ID]],customers!$A$1:$A$1001,customers!$I$1:$I$1001,,0)</f>
        <v>Yes</v>
      </c>
    </row>
    <row r="409" spans="1:16" x14ac:dyDescent="0.2">
      <c r="A409" s="2" t="s">
        <v>2787</v>
      </c>
      <c r="B409" s="3">
        <v>44595</v>
      </c>
      <c r="C409" s="2" t="s">
        <v>2788</v>
      </c>
      <c r="D409" t="s">
        <v>6139</v>
      </c>
      <c r="E409" s="2">
        <v>6</v>
      </c>
      <c r="F409" s="2" t="str">
        <f>_xlfn.XLOOKUP(C409,customers!$A408:$A1408,customers!$B408:$B1408,,0)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5">
        <f>INDEX(products!$A$1:$G$49,MATCH(orders!$D409,products!$A$1:$A$49,0),MATCH(orders!K$1,products!$A$1:$G$1,0))</f>
        <v>0.5</v>
      </c>
      <c r="L409" s="7">
        <f>INDEX(products!$A$1:$G$49,MATCH(orders!$D409,products!$A$1:$A$49,0),MATCH(orders!L$1,products!$A$1:$G$1,0))</f>
        <v>8.25</v>
      </c>
      <c r="M409" s="7">
        <f t="shared" si="18"/>
        <v>49.5</v>
      </c>
      <c r="N409" t="str">
        <f t="shared" si="19"/>
        <v>Excelsa</v>
      </c>
      <c r="O409" t="str">
        <f t="shared" si="20"/>
        <v>Medium</v>
      </c>
      <c r="P409" t="str">
        <f>_xlfn.XLOOKUP(Table1[[#This Row],[Customer ID]],customers!$A$1:$A$1001,customers!$I$1:$I$1001,,0)</f>
        <v>No</v>
      </c>
    </row>
    <row r="410" spans="1:16" x14ac:dyDescent="0.2">
      <c r="A410" s="2" t="s">
        <v>2792</v>
      </c>
      <c r="B410" s="3">
        <v>44659</v>
      </c>
      <c r="C410" s="2" t="s">
        <v>2793</v>
      </c>
      <c r="D410" t="s">
        <v>6175</v>
      </c>
      <c r="E410" s="2">
        <v>2</v>
      </c>
      <c r="F410" s="2" t="str">
        <f>_xlfn.XLOOKUP(C410,customers!$A409:$A1409,customers!$B409:$B1409,,0)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5">
        <f>INDEX(products!$A$1:$G$49,MATCH(orders!$D410,products!$A$1:$A$49,0),MATCH(orders!K$1,products!$A$1:$G$1,0))</f>
        <v>2.5</v>
      </c>
      <c r="L410" s="7">
        <f>INDEX(products!$A$1:$G$49,MATCH(orders!$D410,products!$A$1:$A$49,0),MATCH(orders!L$1,products!$A$1:$G$1,0))</f>
        <v>25.874999999999996</v>
      </c>
      <c r="M410" s="7">
        <f t="shared" si="18"/>
        <v>51.749999999999993</v>
      </c>
      <c r="N410" t="str">
        <f t="shared" si="19"/>
        <v>Arabica</v>
      </c>
      <c r="O410" t="str">
        <f t="shared" si="20"/>
        <v>Medium</v>
      </c>
      <c r="P410" t="str">
        <f>_xlfn.XLOOKUP(Table1[[#This Row],[Customer ID]],customers!$A$1:$A$1001,customers!$I$1:$I$1001,,0)</f>
        <v>Yes</v>
      </c>
    </row>
    <row r="411" spans="1:16" x14ac:dyDescent="0.2">
      <c r="A411" s="2" t="s">
        <v>2798</v>
      </c>
      <c r="B411" s="3">
        <v>44203</v>
      </c>
      <c r="C411" s="2" t="s">
        <v>2799</v>
      </c>
      <c r="D411" t="s">
        <v>6170</v>
      </c>
      <c r="E411" s="2">
        <v>3</v>
      </c>
      <c r="F411" s="2" t="str">
        <f>_xlfn.XLOOKUP(C411,customers!$A410:$A1410,customers!$B410:$B1410,,0)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5">
        <f>INDEX(products!$A$1:$G$49,MATCH(orders!$D411,products!$A$1:$A$49,0),MATCH(orders!K$1,products!$A$1:$G$1,0))</f>
        <v>1</v>
      </c>
      <c r="L411" s="7">
        <f>INDEX(products!$A$1:$G$49,MATCH(orders!$D411,products!$A$1:$A$49,0),MATCH(orders!L$1,products!$A$1:$G$1,0))</f>
        <v>15.85</v>
      </c>
      <c r="M411" s="7">
        <f t="shared" si="18"/>
        <v>47.55</v>
      </c>
      <c r="N411" t="str">
        <f t="shared" si="19"/>
        <v>Liberica</v>
      </c>
      <c r="O411" t="str">
        <f t="shared" si="20"/>
        <v>Light</v>
      </c>
      <c r="P411" t="str">
        <f>_xlfn.XLOOKUP(Table1[[#This Row],[Customer ID]],customers!$A$1:$A$1001,customers!$I$1:$I$1001,,0)</f>
        <v>Yes</v>
      </c>
    </row>
    <row r="412" spans="1:16" x14ac:dyDescent="0.2">
      <c r="A412" s="2" t="s">
        <v>2803</v>
      </c>
      <c r="B412" s="3">
        <v>44441</v>
      </c>
      <c r="C412" s="2" t="s">
        <v>2804</v>
      </c>
      <c r="D412" t="s">
        <v>6167</v>
      </c>
      <c r="E412" s="2">
        <v>4</v>
      </c>
      <c r="F412" s="2" t="str">
        <f>_xlfn.XLOOKUP(C412,customers!$A411:$A1411,customers!$B411:$B1411,,0)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5">
        <f>INDEX(products!$A$1:$G$49,MATCH(orders!$D412,products!$A$1:$A$49,0),MATCH(orders!K$1,products!$A$1:$G$1,0))</f>
        <v>0.2</v>
      </c>
      <c r="L412" s="7">
        <f>INDEX(products!$A$1:$G$49,MATCH(orders!$D412,products!$A$1:$A$49,0),MATCH(orders!L$1,products!$A$1:$G$1,0))</f>
        <v>3.8849999999999998</v>
      </c>
      <c r="M412" s="7">
        <f t="shared" si="18"/>
        <v>15.54</v>
      </c>
      <c r="N412" t="str">
        <f t="shared" si="19"/>
        <v>Arabica</v>
      </c>
      <c r="O412" t="str">
        <f t="shared" si="20"/>
        <v>Light</v>
      </c>
      <c r="P412" t="str">
        <f>_xlfn.XLOOKUP(Table1[[#This Row],[Customer ID]],customers!$A$1:$A$1001,customers!$I$1:$I$1001,,0)</f>
        <v>No</v>
      </c>
    </row>
    <row r="413" spans="1:16" x14ac:dyDescent="0.2">
      <c r="A413" s="2" t="s">
        <v>2808</v>
      </c>
      <c r="B413" s="3">
        <v>44504</v>
      </c>
      <c r="C413" s="2" t="s">
        <v>2809</v>
      </c>
      <c r="D413" t="s">
        <v>6162</v>
      </c>
      <c r="E413" s="2">
        <v>6</v>
      </c>
      <c r="F413" s="2" t="str">
        <f>_xlfn.XLOOKUP(C413,customers!$A412:$A1412,customers!$B412:$B1412,,0)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5">
        <f>INDEX(products!$A$1:$G$49,MATCH(orders!$D413,products!$A$1:$A$49,0),MATCH(orders!K$1,products!$A$1:$G$1,0))</f>
        <v>1</v>
      </c>
      <c r="L413" s="7">
        <f>INDEX(products!$A$1:$G$49,MATCH(orders!$D413,products!$A$1:$A$49,0),MATCH(orders!L$1,products!$A$1:$G$1,0))</f>
        <v>14.55</v>
      </c>
      <c r="M413" s="7">
        <f t="shared" si="18"/>
        <v>87.300000000000011</v>
      </c>
      <c r="N413" t="str">
        <f t="shared" si="19"/>
        <v>Liberica</v>
      </c>
      <c r="O413" t="str">
        <f t="shared" si="20"/>
        <v>Medium</v>
      </c>
      <c r="P413" t="str">
        <f>_xlfn.XLOOKUP(Table1[[#This Row],[Customer ID]],customers!$A$1:$A$1001,customers!$I$1:$I$1001,,0)</f>
        <v>Yes</v>
      </c>
    </row>
    <row r="414" spans="1:16" x14ac:dyDescent="0.2">
      <c r="A414" s="2" t="s">
        <v>2813</v>
      </c>
      <c r="B414" s="3">
        <v>44410</v>
      </c>
      <c r="C414" s="2" t="s">
        <v>2814</v>
      </c>
      <c r="D414" t="s">
        <v>6155</v>
      </c>
      <c r="E414" s="2">
        <v>5</v>
      </c>
      <c r="F414" s="2" t="str">
        <f>_xlfn.XLOOKUP(C414,customers!$A413:$A1413,customers!$B413:$B1413,,0)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5">
        <f>INDEX(products!$A$1:$G$49,MATCH(orders!$D414,products!$A$1:$A$49,0),MATCH(orders!K$1,products!$A$1:$G$1,0))</f>
        <v>1</v>
      </c>
      <c r="L414" s="7">
        <f>INDEX(products!$A$1:$G$49,MATCH(orders!$D414,products!$A$1:$A$49,0),MATCH(orders!L$1,products!$A$1:$G$1,0))</f>
        <v>11.25</v>
      </c>
      <c r="M414" s="7">
        <f t="shared" si="18"/>
        <v>56.25</v>
      </c>
      <c r="N414" t="str">
        <f t="shared" si="19"/>
        <v>Arabica</v>
      </c>
      <c r="O414" t="str">
        <f t="shared" si="20"/>
        <v>Medium</v>
      </c>
      <c r="P414" t="str">
        <f>_xlfn.XLOOKUP(Table1[[#This Row],[Customer ID]],customers!$A$1:$A$1001,customers!$I$1:$I$1001,,0)</f>
        <v>Yes</v>
      </c>
    </row>
    <row r="415" spans="1:16" x14ac:dyDescent="0.2">
      <c r="A415" s="2" t="s">
        <v>2818</v>
      </c>
      <c r="B415" s="3">
        <v>43857</v>
      </c>
      <c r="C415" s="2" t="s">
        <v>2819</v>
      </c>
      <c r="D415" t="s">
        <v>6164</v>
      </c>
      <c r="E415" s="2">
        <v>1</v>
      </c>
      <c r="F415" s="2" t="str">
        <f>_xlfn.XLOOKUP(C415,customers!$A414:$A1414,customers!$B414:$B1414,,0)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5">
        <f>INDEX(products!$A$1:$G$49,MATCH(orders!$D415,products!$A$1:$A$49,0),MATCH(orders!K$1,products!$A$1:$G$1,0))</f>
        <v>2.5</v>
      </c>
      <c r="L415" s="7">
        <f>INDEX(products!$A$1:$G$49,MATCH(orders!$D415,products!$A$1:$A$49,0),MATCH(orders!L$1,products!$A$1:$G$1,0))</f>
        <v>36.454999999999998</v>
      </c>
      <c r="M415" s="7">
        <f t="shared" si="18"/>
        <v>36.454999999999998</v>
      </c>
      <c r="N415" t="str">
        <f t="shared" si="19"/>
        <v>Liberica</v>
      </c>
      <c r="O415" t="str">
        <f t="shared" si="20"/>
        <v>Light</v>
      </c>
      <c r="P415" t="str">
        <f>_xlfn.XLOOKUP(Table1[[#This Row],[Customer ID]],customers!$A$1:$A$1001,customers!$I$1:$I$1001,,0)</f>
        <v>Yes</v>
      </c>
    </row>
    <row r="416" spans="1:16" x14ac:dyDescent="0.2">
      <c r="A416" s="2" t="s">
        <v>2824</v>
      </c>
      <c r="B416" s="3">
        <v>43802</v>
      </c>
      <c r="C416" s="2" t="s">
        <v>2825</v>
      </c>
      <c r="D416" t="s">
        <v>6178</v>
      </c>
      <c r="E416" s="2">
        <v>3</v>
      </c>
      <c r="F416" s="2" t="str">
        <f>_xlfn.XLOOKUP(C416,customers!$A415:$A1415,customers!$B415:$B1415,,0)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5">
        <f>INDEX(products!$A$1:$G$49,MATCH(orders!$D416,products!$A$1:$A$49,0),MATCH(orders!K$1,products!$A$1:$G$1,0))</f>
        <v>0.2</v>
      </c>
      <c r="L416" s="7">
        <f>INDEX(products!$A$1:$G$49,MATCH(orders!$D416,products!$A$1:$A$49,0),MATCH(orders!L$1,products!$A$1:$G$1,0))</f>
        <v>3.5849999999999995</v>
      </c>
      <c r="M416" s="7">
        <f t="shared" si="18"/>
        <v>10.754999999999999</v>
      </c>
      <c r="N416" t="str">
        <f t="shared" si="19"/>
        <v>Robusta</v>
      </c>
      <c r="O416" t="str">
        <f t="shared" si="20"/>
        <v>Light</v>
      </c>
      <c r="P416" t="str">
        <f>_xlfn.XLOOKUP(Table1[[#This Row],[Customer ID]],customers!$A$1:$A$1001,customers!$I$1:$I$1001,,0)</f>
        <v>Yes</v>
      </c>
    </row>
    <row r="417" spans="1:16" x14ac:dyDescent="0.2">
      <c r="A417" s="2" t="s">
        <v>2829</v>
      </c>
      <c r="B417" s="3">
        <v>43683</v>
      </c>
      <c r="C417" s="2" t="s">
        <v>2830</v>
      </c>
      <c r="D417" t="s">
        <v>6174</v>
      </c>
      <c r="E417" s="2">
        <v>3</v>
      </c>
      <c r="F417" s="2" t="str">
        <f>_xlfn.XLOOKUP(C417,customers!$A416:$A1416,customers!$B416:$B1416,,0)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5">
        <f>INDEX(products!$A$1:$G$49,MATCH(orders!$D417,products!$A$1:$A$49,0),MATCH(orders!K$1,products!$A$1:$G$1,0))</f>
        <v>0.2</v>
      </c>
      <c r="L417" s="7">
        <f>INDEX(products!$A$1:$G$49,MATCH(orders!$D417,products!$A$1:$A$49,0),MATCH(orders!L$1,products!$A$1:$G$1,0))</f>
        <v>2.9849999999999999</v>
      </c>
      <c r="M417" s="7">
        <f t="shared" si="18"/>
        <v>8.9550000000000001</v>
      </c>
      <c r="N417" t="str">
        <f t="shared" si="19"/>
        <v>Robusta</v>
      </c>
      <c r="O417" t="str">
        <f t="shared" si="20"/>
        <v>Medium</v>
      </c>
      <c r="P417" t="str">
        <f>_xlfn.XLOOKUP(Table1[[#This Row],[Customer ID]],customers!$A$1:$A$1001,customers!$I$1:$I$1001,,0)</f>
        <v>No</v>
      </c>
    </row>
    <row r="418" spans="1:16" x14ac:dyDescent="0.2">
      <c r="A418" s="2" t="s">
        <v>2834</v>
      </c>
      <c r="B418" s="3">
        <v>43901</v>
      </c>
      <c r="C418" s="2" t="s">
        <v>2835</v>
      </c>
      <c r="D418" t="s">
        <v>6180</v>
      </c>
      <c r="E418" s="2">
        <v>3</v>
      </c>
      <c r="F418" s="2" t="str">
        <f>_xlfn.XLOOKUP(C418,customers!$A417:$A1417,customers!$B417:$B1417,,0)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5">
        <f>INDEX(products!$A$1:$G$49,MATCH(orders!$D418,products!$A$1:$A$49,0),MATCH(orders!K$1,products!$A$1:$G$1,0))</f>
        <v>0.5</v>
      </c>
      <c r="L418" s="7">
        <f>INDEX(products!$A$1:$G$49,MATCH(orders!$D418,products!$A$1:$A$49,0),MATCH(orders!L$1,products!$A$1:$G$1,0))</f>
        <v>7.77</v>
      </c>
      <c r="M418" s="7">
        <f t="shared" si="18"/>
        <v>23.31</v>
      </c>
      <c r="N418" t="str">
        <f t="shared" si="19"/>
        <v>Arabica</v>
      </c>
      <c r="O418" t="str">
        <f t="shared" si="20"/>
        <v>Light</v>
      </c>
      <c r="P418" t="str">
        <f>_xlfn.XLOOKUP(Table1[[#This Row],[Customer ID]],customers!$A$1:$A$1001,customers!$I$1:$I$1001,,0)</f>
        <v>Yes</v>
      </c>
    </row>
    <row r="419" spans="1:16" x14ac:dyDescent="0.2">
      <c r="A419" s="2" t="s">
        <v>2839</v>
      </c>
      <c r="B419" s="3">
        <v>44457</v>
      </c>
      <c r="C419" s="2" t="s">
        <v>2840</v>
      </c>
      <c r="D419" t="s">
        <v>6182</v>
      </c>
      <c r="E419" s="2">
        <v>1</v>
      </c>
      <c r="F419" s="2" t="str">
        <f>_xlfn.XLOOKUP(C419,customers!$A418:$A1418,customers!$B418:$B1418,,0)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5">
        <f>INDEX(products!$A$1:$G$49,MATCH(orders!$D419,products!$A$1:$A$49,0),MATCH(orders!K$1,products!$A$1:$G$1,0))</f>
        <v>2.5</v>
      </c>
      <c r="L419" s="7">
        <f>INDEX(products!$A$1:$G$49,MATCH(orders!$D419,products!$A$1:$A$49,0),MATCH(orders!L$1,products!$A$1:$G$1,0))</f>
        <v>29.784999999999997</v>
      </c>
      <c r="M419" s="7">
        <f t="shared" si="18"/>
        <v>29.784999999999997</v>
      </c>
      <c r="N419" t="str">
        <f t="shared" si="19"/>
        <v>Arabica</v>
      </c>
      <c r="O419" t="str">
        <f t="shared" si="20"/>
        <v>Light</v>
      </c>
      <c r="P419" t="str">
        <f>_xlfn.XLOOKUP(Table1[[#This Row],[Customer ID]],customers!$A$1:$A$1001,customers!$I$1:$I$1001,,0)</f>
        <v>Yes</v>
      </c>
    </row>
    <row r="420" spans="1:16" x14ac:dyDescent="0.2">
      <c r="A420" s="2" t="s">
        <v>2844</v>
      </c>
      <c r="B420" s="3">
        <v>44142</v>
      </c>
      <c r="C420" s="2" t="s">
        <v>2845</v>
      </c>
      <c r="D420" t="s">
        <v>6182</v>
      </c>
      <c r="E420" s="2">
        <v>5</v>
      </c>
      <c r="F420" s="2" t="str">
        <f>_xlfn.XLOOKUP(C420,customers!$A419:$A1419,customers!$B419:$B1419,,0)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5">
        <f>INDEX(products!$A$1:$G$49,MATCH(orders!$D420,products!$A$1:$A$49,0),MATCH(orders!K$1,products!$A$1:$G$1,0))</f>
        <v>2.5</v>
      </c>
      <c r="L420" s="7">
        <f>INDEX(products!$A$1:$G$49,MATCH(orders!$D420,products!$A$1:$A$49,0),MATCH(orders!L$1,products!$A$1:$G$1,0))</f>
        <v>29.784999999999997</v>
      </c>
      <c r="M420" s="7">
        <f t="shared" si="18"/>
        <v>148.92499999999998</v>
      </c>
      <c r="N420" t="str">
        <f t="shared" si="19"/>
        <v>Arabica</v>
      </c>
      <c r="O420" t="str">
        <f t="shared" si="20"/>
        <v>Light</v>
      </c>
      <c r="P420" t="str">
        <f>_xlfn.XLOOKUP(Table1[[#This Row],[Customer ID]],customers!$A$1:$A$1001,customers!$I$1:$I$1001,,0)</f>
        <v>Yes</v>
      </c>
    </row>
    <row r="421" spans="1:16" x14ac:dyDescent="0.2">
      <c r="A421" s="2" t="s">
        <v>2849</v>
      </c>
      <c r="B421" s="3">
        <v>44739</v>
      </c>
      <c r="C421" s="2" t="s">
        <v>2850</v>
      </c>
      <c r="D421" t="s">
        <v>6160</v>
      </c>
      <c r="E421" s="2">
        <v>1</v>
      </c>
      <c r="F421" s="2" t="str">
        <f>_xlfn.XLOOKUP(C421,customers!$A420:$A1420,customers!$B420:$B1420,,0)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5">
        <f>INDEX(products!$A$1:$G$49,MATCH(orders!$D421,products!$A$1:$A$49,0),MATCH(orders!K$1,products!$A$1:$G$1,0))</f>
        <v>0.5</v>
      </c>
      <c r="L421" s="7">
        <f>INDEX(products!$A$1:$G$49,MATCH(orders!$D421,products!$A$1:$A$49,0),MATCH(orders!L$1,products!$A$1:$G$1,0))</f>
        <v>8.73</v>
      </c>
      <c r="M421" s="7">
        <f t="shared" si="18"/>
        <v>8.73</v>
      </c>
      <c r="N421" t="str">
        <f t="shared" si="19"/>
        <v>Liberica</v>
      </c>
      <c r="O421" t="str">
        <f t="shared" si="20"/>
        <v>Medium</v>
      </c>
      <c r="P421" t="str">
        <f>_xlfn.XLOOKUP(Table1[[#This Row],[Customer ID]],customers!$A$1:$A$1001,customers!$I$1:$I$1001,,0)</f>
        <v>Yes</v>
      </c>
    </row>
    <row r="422" spans="1:16" x14ac:dyDescent="0.2">
      <c r="A422" s="2" t="s">
        <v>2855</v>
      </c>
      <c r="B422" s="3">
        <v>43866</v>
      </c>
      <c r="C422" s="2" t="s">
        <v>2586</v>
      </c>
      <c r="D422" t="s">
        <v>6169</v>
      </c>
      <c r="E422" s="2">
        <v>4</v>
      </c>
      <c r="F422" s="2" t="e">
        <f>_xlfn.XLOOKUP(C422,customers!$A421:$A1421,customers!$B421:$B1421,,0)</f>
        <v>#N/A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5">
        <f>INDEX(products!$A$1:$G$49,MATCH(orders!$D422,products!$A$1:$A$49,0),MATCH(orders!K$1,products!$A$1:$G$1,0))</f>
        <v>0.5</v>
      </c>
      <c r="L422" s="7">
        <f>INDEX(products!$A$1:$G$49,MATCH(orders!$D422,products!$A$1:$A$49,0),MATCH(orders!L$1,products!$A$1:$G$1,0))</f>
        <v>7.77</v>
      </c>
      <c r="M422" s="7">
        <f t="shared" si="18"/>
        <v>31.08</v>
      </c>
      <c r="N422" t="str">
        <f t="shared" si="19"/>
        <v>Liberica</v>
      </c>
      <c r="O422" t="str">
        <f t="shared" si="20"/>
        <v>Dark</v>
      </c>
      <c r="P422" t="str">
        <f>_xlfn.XLOOKUP(Table1[[#This Row],[Customer ID]],customers!$A$1:$A$1001,customers!$I$1:$I$1001,,0)</f>
        <v>No</v>
      </c>
    </row>
    <row r="423" spans="1:16" x14ac:dyDescent="0.2">
      <c r="A423" s="2" t="s">
        <v>2855</v>
      </c>
      <c r="B423" s="3">
        <v>43866</v>
      </c>
      <c r="C423" s="2" t="s">
        <v>2586</v>
      </c>
      <c r="D423" t="s">
        <v>6168</v>
      </c>
      <c r="E423" s="2">
        <v>6</v>
      </c>
      <c r="F423" s="2" t="e">
        <f>_xlfn.XLOOKUP(C423,customers!$A422:$A1422,customers!$B422:$B1422,,0)</f>
        <v>#N/A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5">
        <f>INDEX(products!$A$1:$G$49,MATCH(orders!$D423,products!$A$1:$A$49,0),MATCH(orders!K$1,products!$A$1:$G$1,0))</f>
        <v>2.5</v>
      </c>
      <c r="L423" s="7">
        <f>INDEX(products!$A$1:$G$49,MATCH(orders!$D423,products!$A$1:$A$49,0),MATCH(orders!L$1,products!$A$1:$G$1,0))</f>
        <v>22.884999999999998</v>
      </c>
      <c r="M423" s="7">
        <f t="shared" si="18"/>
        <v>137.31</v>
      </c>
      <c r="N423" t="str">
        <f t="shared" si="19"/>
        <v>Arabica</v>
      </c>
      <c r="O423" t="str">
        <f t="shared" si="20"/>
        <v>Dark</v>
      </c>
      <c r="P423" t="str">
        <f>_xlfn.XLOOKUP(Table1[[#This Row],[Customer ID]],customers!$A$1:$A$1001,customers!$I$1:$I$1001,,0)</f>
        <v>No</v>
      </c>
    </row>
    <row r="424" spans="1:16" x14ac:dyDescent="0.2">
      <c r="A424" s="2" t="s">
        <v>2866</v>
      </c>
      <c r="B424" s="3">
        <v>43868</v>
      </c>
      <c r="C424" s="2" t="s">
        <v>2867</v>
      </c>
      <c r="D424" t="s">
        <v>6158</v>
      </c>
      <c r="E424" s="2">
        <v>5</v>
      </c>
      <c r="F424" s="2" t="str">
        <f>_xlfn.XLOOKUP(C424,customers!$A423:$A1423,customers!$B423:$B1423,,0)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5">
        <f>INDEX(products!$A$1:$G$49,MATCH(orders!$D424,products!$A$1:$A$49,0),MATCH(orders!K$1,products!$A$1:$G$1,0))</f>
        <v>0.5</v>
      </c>
      <c r="L424" s="7">
        <f>INDEX(products!$A$1:$G$49,MATCH(orders!$D424,products!$A$1:$A$49,0),MATCH(orders!L$1,products!$A$1:$G$1,0))</f>
        <v>5.97</v>
      </c>
      <c r="M424" s="7">
        <f t="shared" si="18"/>
        <v>29.849999999999998</v>
      </c>
      <c r="N424" t="str">
        <f t="shared" si="19"/>
        <v>Arabica</v>
      </c>
      <c r="O424" t="str">
        <f t="shared" si="20"/>
        <v>Dark</v>
      </c>
      <c r="P424" t="str">
        <f>_xlfn.XLOOKUP(Table1[[#This Row],[Customer ID]],customers!$A$1:$A$1001,customers!$I$1:$I$1001,,0)</f>
        <v>No</v>
      </c>
    </row>
    <row r="425" spans="1:16" x14ac:dyDescent="0.2">
      <c r="A425" s="2" t="s">
        <v>2871</v>
      </c>
      <c r="B425" s="3">
        <v>44183</v>
      </c>
      <c r="C425" s="2" t="s">
        <v>2872</v>
      </c>
      <c r="D425" t="s">
        <v>6146</v>
      </c>
      <c r="E425" s="2">
        <v>3</v>
      </c>
      <c r="F425" s="2" t="str">
        <f>_xlfn.XLOOKUP(C425,customers!$A424:$A1424,customers!$B424:$B1424,,0)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5">
        <f>INDEX(products!$A$1:$G$49,MATCH(orders!$D425,products!$A$1:$A$49,0),MATCH(orders!K$1,products!$A$1:$G$1,0))</f>
        <v>0.5</v>
      </c>
      <c r="L425" s="7">
        <f>INDEX(products!$A$1:$G$49,MATCH(orders!$D425,products!$A$1:$A$49,0),MATCH(orders!L$1,products!$A$1:$G$1,0))</f>
        <v>5.97</v>
      </c>
      <c r="M425" s="7">
        <f t="shared" si="18"/>
        <v>17.91</v>
      </c>
      <c r="N425" t="str">
        <f t="shared" si="19"/>
        <v>Robusta</v>
      </c>
      <c r="O425" t="str">
        <f t="shared" si="20"/>
        <v>Medium</v>
      </c>
      <c r="P425" t="str">
        <f>_xlfn.XLOOKUP(Table1[[#This Row],[Customer ID]],customers!$A$1:$A$1001,customers!$I$1:$I$1001,,0)</f>
        <v>No</v>
      </c>
    </row>
    <row r="426" spans="1:16" x14ac:dyDescent="0.2">
      <c r="A426" s="2" t="s">
        <v>2876</v>
      </c>
      <c r="B426" s="3">
        <v>44431</v>
      </c>
      <c r="C426" s="2" t="s">
        <v>2877</v>
      </c>
      <c r="D426" t="s">
        <v>6176</v>
      </c>
      <c r="E426" s="2">
        <v>3</v>
      </c>
      <c r="F426" s="2" t="str">
        <f>_xlfn.XLOOKUP(C426,customers!$A425:$A1425,customers!$B425:$B1425,,0)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5">
        <f>INDEX(products!$A$1:$G$49,MATCH(orders!$D426,products!$A$1:$A$49,0),MATCH(orders!K$1,products!$A$1:$G$1,0))</f>
        <v>0.5</v>
      </c>
      <c r="L426" s="7">
        <f>INDEX(products!$A$1:$G$49,MATCH(orders!$D426,products!$A$1:$A$49,0),MATCH(orders!L$1,products!$A$1:$G$1,0))</f>
        <v>8.91</v>
      </c>
      <c r="M426" s="7">
        <f t="shared" si="18"/>
        <v>26.73</v>
      </c>
      <c r="N426" t="str">
        <f t="shared" si="19"/>
        <v>Excelsa</v>
      </c>
      <c r="O426" t="str">
        <f t="shared" si="20"/>
        <v>Light</v>
      </c>
      <c r="P426" t="str">
        <f>_xlfn.XLOOKUP(Table1[[#This Row],[Customer ID]],customers!$A$1:$A$1001,customers!$I$1:$I$1001,,0)</f>
        <v>Yes</v>
      </c>
    </row>
    <row r="427" spans="1:16" x14ac:dyDescent="0.2">
      <c r="A427" s="2" t="s">
        <v>2882</v>
      </c>
      <c r="B427" s="3">
        <v>44428</v>
      </c>
      <c r="C427" s="2" t="s">
        <v>2883</v>
      </c>
      <c r="D427" t="s">
        <v>6177</v>
      </c>
      <c r="E427" s="2">
        <v>2</v>
      </c>
      <c r="F427" s="2" t="str">
        <f>_xlfn.XLOOKUP(C427,customers!$A426:$A1426,customers!$B426:$B1426,,0)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5">
        <f>INDEX(products!$A$1:$G$49,MATCH(orders!$D427,products!$A$1:$A$49,0),MATCH(orders!K$1,products!$A$1:$G$1,0))</f>
        <v>1</v>
      </c>
      <c r="L427" s="7">
        <f>INDEX(products!$A$1:$G$49,MATCH(orders!$D427,products!$A$1:$A$49,0),MATCH(orders!L$1,products!$A$1:$G$1,0))</f>
        <v>8.9499999999999993</v>
      </c>
      <c r="M427" s="7">
        <f t="shared" si="18"/>
        <v>17.899999999999999</v>
      </c>
      <c r="N427" t="str">
        <f t="shared" si="19"/>
        <v>Robusta</v>
      </c>
      <c r="O427" t="str">
        <f t="shared" si="20"/>
        <v>Dark</v>
      </c>
      <c r="P427" t="str">
        <f>_xlfn.XLOOKUP(Table1[[#This Row],[Customer ID]],customers!$A$1:$A$1001,customers!$I$1:$I$1001,,0)</f>
        <v>No</v>
      </c>
    </row>
    <row r="428" spans="1:16" x14ac:dyDescent="0.2">
      <c r="A428" s="2" t="s">
        <v>2888</v>
      </c>
      <c r="B428" s="3">
        <v>43556</v>
      </c>
      <c r="C428" s="2" t="s">
        <v>2889</v>
      </c>
      <c r="D428" t="s">
        <v>6178</v>
      </c>
      <c r="E428" s="2">
        <v>4</v>
      </c>
      <c r="F428" s="2" t="str">
        <f>_xlfn.XLOOKUP(C428,customers!$A427:$A1427,customers!$B427:$B1427,,0)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5">
        <f>INDEX(products!$A$1:$G$49,MATCH(orders!$D428,products!$A$1:$A$49,0),MATCH(orders!K$1,products!$A$1:$G$1,0))</f>
        <v>0.2</v>
      </c>
      <c r="L428" s="7">
        <f>INDEX(products!$A$1:$G$49,MATCH(orders!$D428,products!$A$1:$A$49,0),MATCH(orders!L$1,products!$A$1:$G$1,0))</f>
        <v>3.5849999999999995</v>
      </c>
      <c r="M428" s="7">
        <f t="shared" si="18"/>
        <v>14.339999999999998</v>
      </c>
      <c r="N428" t="str">
        <f t="shared" si="19"/>
        <v>Robusta</v>
      </c>
      <c r="O428" t="str">
        <f t="shared" si="20"/>
        <v>Light</v>
      </c>
      <c r="P428" t="str">
        <f>_xlfn.XLOOKUP(Table1[[#This Row],[Customer ID]],customers!$A$1:$A$1001,customers!$I$1:$I$1001,,0)</f>
        <v>Yes</v>
      </c>
    </row>
    <row r="429" spans="1:16" x14ac:dyDescent="0.2">
      <c r="A429" s="2" t="s">
        <v>2894</v>
      </c>
      <c r="B429" s="3">
        <v>44224</v>
      </c>
      <c r="C429" s="2" t="s">
        <v>2895</v>
      </c>
      <c r="D429" t="s">
        <v>6175</v>
      </c>
      <c r="E429" s="2">
        <v>3</v>
      </c>
      <c r="F429" s="2" t="str">
        <f>_xlfn.XLOOKUP(C429,customers!$A428:$A1428,customers!$B428:$B1428,,0)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5">
        <f>INDEX(products!$A$1:$G$49,MATCH(orders!$D429,products!$A$1:$A$49,0),MATCH(orders!K$1,products!$A$1:$G$1,0))</f>
        <v>2.5</v>
      </c>
      <c r="L429" s="7">
        <f>INDEX(products!$A$1:$G$49,MATCH(orders!$D429,products!$A$1:$A$49,0),MATCH(orders!L$1,products!$A$1:$G$1,0))</f>
        <v>25.874999999999996</v>
      </c>
      <c r="M429" s="7">
        <f t="shared" si="18"/>
        <v>77.624999999999986</v>
      </c>
      <c r="N429" t="str">
        <f t="shared" si="19"/>
        <v>Arabica</v>
      </c>
      <c r="O429" t="str">
        <f t="shared" si="20"/>
        <v>Medium</v>
      </c>
      <c r="P429" t="str">
        <f>_xlfn.XLOOKUP(Table1[[#This Row],[Customer ID]],customers!$A$1:$A$1001,customers!$I$1:$I$1001,,0)</f>
        <v>Yes</v>
      </c>
    </row>
    <row r="430" spans="1:16" x14ac:dyDescent="0.2">
      <c r="A430" s="2" t="s">
        <v>2899</v>
      </c>
      <c r="B430" s="3">
        <v>43759</v>
      </c>
      <c r="C430" s="2" t="s">
        <v>2900</v>
      </c>
      <c r="D430" t="s">
        <v>6179</v>
      </c>
      <c r="E430" s="2">
        <v>5</v>
      </c>
      <c r="F430" s="2" t="str">
        <f>_xlfn.XLOOKUP(C430,customers!$A429:$A1429,customers!$B429:$B1429,,0)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5">
        <f>INDEX(products!$A$1:$G$49,MATCH(orders!$D430,products!$A$1:$A$49,0),MATCH(orders!K$1,products!$A$1:$G$1,0))</f>
        <v>1</v>
      </c>
      <c r="L430" s="7">
        <f>INDEX(products!$A$1:$G$49,MATCH(orders!$D430,products!$A$1:$A$49,0),MATCH(orders!L$1,products!$A$1:$G$1,0))</f>
        <v>11.95</v>
      </c>
      <c r="M430" s="7">
        <f t="shared" si="18"/>
        <v>59.75</v>
      </c>
      <c r="N430" t="str">
        <f t="shared" si="19"/>
        <v>Robusta</v>
      </c>
      <c r="O430" t="str">
        <f t="shared" si="20"/>
        <v>Light</v>
      </c>
      <c r="P430" t="str">
        <f>_xlfn.XLOOKUP(Table1[[#This Row],[Customer ID]],customers!$A$1:$A$1001,customers!$I$1:$I$1001,,0)</f>
        <v>No</v>
      </c>
    </row>
    <row r="431" spans="1:16" x14ac:dyDescent="0.2">
      <c r="A431" s="2" t="s">
        <v>2905</v>
      </c>
      <c r="B431" s="3">
        <v>44367</v>
      </c>
      <c r="C431" s="2" t="s">
        <v>2586</v>
      </c>
      <c r="D431" t="s">
        <v>6140</v>
      </c>
      <c r="E431" s="2">
        <v>6</v>
      </c>
      <c r="F431" s="2" t="e">
        <f>_xlfn.XLOOKUP(C431,customers!$A430:$A1430,customers!$B430:$B1430,,0)</f>
        <v>#N/A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5">
        <f>INDEX(products!$A$1:$G$49,MATCH(orders!$D431,products!$A$1:$A$49,0),MATCH(orders!K$1,products!$A$1:$G$1,0))</f>
        <v>1</v>
      </c>
      <c r="L431" s="7">
        <f>INDEX(products!$A$1:$G$49,MATCH(orders!$D431,products!$A$1:$A$49,0),MATCH(orders!L$1,products!$A$1:$G$1,0))</f>
        <v>12.95</v>
      </c>
      <c r="M431" s="7">
        <f t="shared" si="18"/>
        <v>77.699999999999989</v>
      </c>
      <c r="N431" t="str">
        <f t="shared" si="19"/>
        <v>Arabica</v>
      </c>
      <c r="O431" t="str">
        <f t="shared" si="20"/>
        <v>Light</v>
      </c>
      <c r="P431" t="str">
        <f>_xlfn.XLOOKUP(Table1[[#This Row],[Customer ID]],customers!$A$1:$A$1001,customers!$I$1:$I$1001,,0)</f>
        <v>No</v>
      </c>
    </row>
    <row r="432" spans="1:16" x14ac:dyDescent="0.2">
      <c r="A432" s="2" t="s">
        <v>2911</v>
      </c>
      <c r="B432" s="3">
        <v>44504</v>
      </c>
      <c r="C432" s="2" t="s">
        <v>2912</v>
      </c>
      <c r="D432" t="s">
        <v>6163</v>
      </c>
      <c r="E432" s="2">
        <v>2</v>
      </c>
      <c r="F432" s="2" t="str">
        <f>_xlfn.XLOOKUP(C432,customers!$A431:$A1431,customers!$B431:$B1431,,0)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5">
        <f>INDEX(products!$A$1:$G$49,MATCH(orders!$D432,products!$A$1:$A$49,0),MATCH(orders!K$1,products!$A$1:$G$1,0))</f>
        <v>0.2</v>
      </c>
      <c r="L432" s="7">
        <f>INDEX(products!$A$1:$G$49,MATCH(orders!$D432,products!$A$1:$A$49,0),MATCH(orders!L$1,products!$A$1:$G$1,0))</f>
        <v>2.6849999999999996</v>
      </c>
      <c r="M432" s="7">
        <f t="shared" si="18"/>
        <v>5.3699999999999992</v>
      </c>
      <c r="N432" t="str">
        <f t="shared" si="19"/>
        <v>Robusta</v>
      </c>
      <c r="O432" t="str">
        <f t="shared" si="20"/>
        <v>Dark</v>
      </c>
      <c r="P432" t="str">
        <f>_xlfn.XLOOKUP(Table1[[#This Row],[Customer ID]],customers!$A$1:$A$1001,customers!$I$1:$I$1001,,0)</f>
        <v>Yes</v>
      </c>
    </row>
    <row r="433" spans="1:16" x14ac:dyDescent="0.2">
      <c r="A433" s="2" t="s">
        <v>2917</v>
      </c>
      <c r="B433" s="3">
        <v>44291</v>
      </c>
      <c r="C433" s="2" t="s">
        <v>2918</v>
      </c>
      <c r="D433" t="s">
        <v>6185</v>
      </c>
      <c r="E433" s="2">
        <v>3</v>
      </c>
      <c r="F433" s="2" t="str">
        <f>_xlfn.XLOOKUP(C433,customers!$A432:$A1432,customers!$B432:$B1432,,0)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5">
        <f>INDEX(products!$A$1:$G$49,MATCH(orders!$D433,products!$A$1:$A$49,0),MATCH(orders!K$1,products!$A$1:$G$1,0))</f>
        <v>2.5</v>
      </c>
      <c r="L433" s="7">
        <f>INDEX(products!$A$1:$G$49,MATCH(orders!$D433,products!$A$1:$A$49,0),MATCH(orders!L$1,products!$A$1:$G$1,0))</f>
        <v>27.945</v>
      </c>
      <c r="M433" s="7">
        <f t="shared" si="18"/>
        <v>83.835000000000008</v>
      </c>
      <c r="N433" t="str">
        <f t="shared" si="19"/>
        <v>Excelsa</v>
      </c>
      <c r="O433" t="str">
        <f t="shared" si="20"/>
        <v>Dark</v>
      </c>
      <c r="P433" t="str">
        <f>_xlfn.XLOOKUP(Table1[[#This Row],[Customer ID]],customers!$A$1:$A$1001,customers!$I$1:$I$1001,,0)</f>
        <v>Yes</v>
      </c>
    </row>
    <row r="434" spans="1:16" x14ac:dyDescent="0.2">
      <c r="A434" s="2" t="s">
        <v>2923</v>
      </c>
      <c r="B434" s="3">
        <v>43808</v>
      </c>
      <c r="C434" s="2" t="s">
        <v>2924</v>
      </c>
      <c r="D434" t="s">
        <v>6155</v>
      </c>
      <c r="E434" s="2">
        <v>2</v>
      </c>
      <c r="F434" s="2" t="str">
        <f>_xlfn.XLOOKUP(C434,customers!$A433:$A1433,customers!$B433:$B1433,,0)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5">
        <f>INDEX(products!$A$1:$G$49,MATCH(orders!$D434,products!$A$1:$A$49,0),MATCH(orders!K$1,products!$A$1:$G$1,0))</f>
        <v>1</v>
      </c>
      <c r="L434" s="7">
        <f>INDEX(products!$A$1:$G$49,MATCH(orders!$D434,products!$A$1:$A$49,0),MATCH(orders!L$1,products!$A$1:$G$1,0))</f>
        <v>11.25</v>
      </c>
      <c r="M434" s="7">
        <f t="shared" si="18"/>
        <v>22.5</v>
      </c>
      <c r="N434" t="str">
        <f t="shared" si="19"/>
        <v>Arabica</v>
      </c>
      <c r="O434" t="str">
        <f t="shared" si="20"/>
        <v>Medium</v>
      </c>
      <c r="P434" t="str">
        <f>_xlfn.XLOOKUP(Table1[[#This Row],[Customer ID]],customers!$A$1:$A$1001,customers!$I$1:$I$1001,,0)</f>
        <v>No</v>
      </c>
    </row>
    <row r="435" spans="1:16" x14ac:dyDescent="0.2">
      <c r="A435" s="2" t="s">
        <v>2928</v>
      </c>
      <c r="B435" s="3">
        <v>44563</v>
      </c>
      <c r="C435" s="2" t="s">
        <v>2929</v>
      </c>
      <c r="D435" t="s">
        <v>6181</v>
      </c>
      <c r="E435" s="2">
        <v>6</v>
      </c>
      <c r="F435" s="2" t="str">
        <f>_xlfn.XLOOKUP(C435,customers!$A434:$A1434,customers!$B434:$B1434,,0)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5">
        <f>INDEX(products!$A$1:$G$49,MATCH(orders!$D435,products!$A$1:$A$49,0),MATCH(orders!K$1,products!$A$1:$G$1,0))</f>
        <v>2.5</v>
      </c>
      <c r="L435" s="7">
        <f>INDEX(products!$A$1:$G$49,MATCH(orders!$D435,products!$A$1:$A$49,0),MATCH(orders!L$1,products!$A$1:$G$1,0))</f>
        <v>33.464999999999996</v>
      </c>
      <c r="M435" s="7">
        <f t="shared" si="18"/>
        <v>200.78999999999996</v>
      </c>
      <c r="N435" t="str">
        <f t="shared" si="19"/>
        <v>Liberica</v>
      </c>
      <c r="O435" t="str">
        <f t="shared" si="20"/>
        <v>Medium</v>
      </c>
      <c r="P435" t="str">
        <f>_xlfn.XLOOKUP(Table1[[#This Row],[Customer ID]],customers!$A$1:$A$1001,customers!$I$1:$I$1001,,0)</f>
        <v>Yes</v>
      </c>
    </row>
    <row r="436" spans="1:16" x14ac:dyDescent="0.2">
      <c r="A436" s="2" t="s">
        <v>2934</v>
      </c>
      <c r="B436" s="3">
        <v>43807</v>
      </c>
      <c r="C436" s="2" t="s">
        <v>2935</v>
      </c>
      <c r="D436" t="s">
        <v>6155</v>
      </c>
      <c r="E436" s="2">
        <v>6</v>
      </c>
      <c r="F436" s="2" t="str">
        <f>_xlfn.XLOOKUP(C436,customers!$A435:$A1435,customers!$B435:$B1435,,0)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5">
        <f>INDEX(products!$A$1:$G$49,MATCH(orders!$D436,products!$A$1:$A$49,0),MATCH(orders!K$1,products!$A$1:$G$1,0))</f>
        <v>1</v>
      </c>
      <c r="L436" s="7">
        <f>INDEX(products!$A$1:$G$49,MATCH(orders!$D436,products!$A$1:$A$49,0),MATCH(orders!L$1,products!$A$1:$G$1,0))</f>
        <v>11.25</v>
      </c>
      <c r="M436" s="7">
        <f t="shared" si="18"/>
        <v>67.5</v>
      </c>
      <c r="N436" t="str">
        <f t="shared" si="19"/>
        <v>Arabica</v>
      </c>
      <c r="O436" t="str">
        <f t="shared" si="20"/>
        <v>Medium</v>
      </c>
      <c r="P436" t="str">
        <f>_xlfn.XLOOKUP(Table1[[#This Row],[Customer ID]],customers!$A$1:$A$1001,customers!$I$1:$I$1001,,0)</f>
        <v>No</v>
      </c>
    </row>
    <row r="437" spans="1:16" x14ac:dyDescent="0.2">
      <c r="A437" s="2" t="s">
        <v>2939</v>
      </c>
      <c r="B437" s="3">
        <v>44528</v>
      </c>
      <c r="C437" s="2" t="s">
        <v>2940</v>
      </c>
      <c r="D437" t="s">
        <v>6139</v>
      </c>
      <c r="E437" s="2">
        <v>1</v>
      </c>
      <c r="F437" s="2" t="str">
        <f>_xlfn.XLOOKUP(C437,customers!$A436:$A1436,customers!$B436:$B1436,,0)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5">
        <f>INDEX(products!$A$1:$G$49,MATCH(orders!$D437,products!$A$1:$A$49,0),MATCH(orders!K$1,products!$A$1:$G$1,0))</f>
        <v>0.5</v>
      </c>
      <c r="L437" s="7">
        <f>INDEX(products!$A$1:$G$49,MATCH(orders!$D437,products!$A$1:$A$49,0),MATCH(orders!L$1,products!$A$1:$G$1,0))</f>
        <v>8.25</v>
      </c>
      <c r="M437" s="7">
        <f t="shared" si="18"/>
        <v>8.25</v>
      </c>
      <c r="N437" t="str">
        <f t="shared" si="19"/>
        <v>Excelsa</v>
      </c>
      <c r="O437" t="str">
        <f t="shared" si="20"/>
        <v>Medium</v>
      </c>
      <c r="P437" t="str">
        <f>_xlfn.XLOOKUP(Table1[[#This Row],[Customer ID]],customers!$A$1:$A$1001,customers!$I$1:$I$1001,,0)</f>
        <v>No</v>
      </c>
    </row>
    <row r="438" spans="1:16" x14ac:dyDescent="0.2">
      <c r="A438" s="2" t="s">
        <v>2945</v>
      </c>
      <c r="B438" s="3">
        <v>44631</v>
      </c>
      <c r="C438" s="2" t="s">
        <v>2946</v>
      </c>
      <c r="D438" t="s">
        <v>6145</v>
      </c>
      <c r="E438" s="2">
        <v>2</v>
      </c>
      <c r="F438" s="2" t="str">
        <f>_xlfn.XLOOKUP(C438,customers!$A437:$A1437,customers!$B437:$B1437,,0)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5">
        <f>INDEX(products!$A$1:$G$49,MATCH(orders!$D438,products!$A$1:$A$49,0),MATCH(orders!K$1,products!$A$1:$G$1,0))</f>
        <v>0.2</v>
      </c>
      <c r="L438" s="7">
        <f>INDEX(products!$A$1:$G$49,MATCH(orders!$D438,products!$A$1:$A$49,0),MATCH(orders!L$1,products!$A$1:$G$1,0))</f>
        <v>4.7549999999999999</v>
      </c>
      <c r="M438" s="7">
        <f t="shared" si="18"/>
        <v>9.51</v>
      </c>
      <c r="N438" t="str">
        <f t="shared" si="19"/>
        <v>Liberica</v>
      </c>
      <c r="O438" t="str">
        <f t="shared" si="20"/>
        <v>Light</v>
      </c>
      <c r="P438" t="str">
        <f>_xlfn.XLOOKUP(Table1[[#This Row],[Customer ID]],customers!$A$1:$A$1001,customers!$I$1:$I$1001,,0)</f>
        <v>Yes</v>
      </c>
    </row>
    <row r="439" spans="1:16" x14ac:dyDescent="0.2">
      <c r="A439" s="2" t="s">
        <v>2951</v>
      </c>
      <c r="B439" s="3">
        <v>44213</v>
      </c>
      <c r="C439" s="2" t="s">
        <v>2952</v>
      </c>
      <c r="D439" t="s">
        <v>6165</v>
      </c>
      <c r="E439" s="2">
        <v>1</v>
      </c>
      <c r="F439" s="2" t="str">
        <f>_xlfn.XLOOKUP(C439,customers!$A438:$A1438,customers!$B438:$B1438,,0)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5">
        <f>INDEX(products!$A$1:$G$49,MATCH(orders!$D439,products!$A$1:$A$49,0),MATCH(orders!K$1,products!$A$1:$G$1,0))</f>
        <v>2.5</v>
      </c>
      <c r="L439" s="7">
        <f>INDEX(products!$A$1:$G$49,MATCH(orders!$D439,products!$A$1:$A$49,0),MATCH(orders!L$1,products!$A$1:$G$1,0))</f>
        <v>29.784999999999997</v>
      </c>
      <c r="M439" s="7">
        <f t="shared" si="18"/>
        <v>29.784999999999997</v>
      </c>
      <c r="N439" t="str">
        <f t="shared" si="19"/>
        <v>Liberica</v>
      </c>
      <c r="O439" t="str">
        <f t="shared" si="20"/>
        <v>Dark</v>
      </c>
      <c r="P439" t="str">
        <f>_xlfn.XLOOKUP(Table1[[#This Row],[Customer ID]],customers!$A$1:$A$1001,customers!$I$1:$I$1001,,0)</f>
        <v>No</v>
      </c>
    </row>
    <row r="440" spans="1:16" x14ac:dyDescent="0.2">
      <c r="A440" s="2" t="s">
        <v>2956</v>
      </c>
      <c r="B440" s="3">
        <v>43483</v>
      </c>
      <c r="C440" s="2" t="s">
        <v>3042</v>
      </c>
      <c r="D440" t="s">
        <v>6169</v>
      </c>
      <c r="E440" s="2">
        <v>2</v>
      </c>
      <c r="F440" s="2" t="str">
        <f>_xlfn.XLOOKUP(C440,customers!$A439:$A1439,customers!$B439:$B1439,,0)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5">
        <f>INDEX(products!$A$1:$G$49,MATCH(orders!$D440,products!$A$1:$A$49,0),MATCH(orders!K$1,products!$A$1:$G$1,0))</f>
        <v>0.5</v>
      </c>
      <c r="L440" s="7">
        <f>INDEX(products!$A$1:$G$49,MATCH(orders!$D440,products!$A$1:$A$49,0),MATCH(orders!L$1,products!$A$1:$G$1,0))</f>
        <v>7.77</v>
      </c>
      <c r="M440" s="7">
        <f t="shared" si="18"/>
        <v>15.54</v>
      </c>
      <c r="N440" t="str">
        <f t="shared" si="19"/>
        <v>Liberica</v>
      </c>
      <c r="O440" t="str">
        <f t="shared" si="20"/>
        <v>Dark</v>
      </c>
      <c r="P440" t="str">
        <f>_xlfn.XLOOKUP(Table1[[#This Row],[Customer ID]],customers!$A$1:$A$1001,customers!$I$1:$I$1001,,0)</f>
        <v>No</v>
      </c>
    </row>
    <row r="441" spans="1:16" x14ac:dyDescent="0.2">
      <c r="A441" s="2" t="s">
        <v>2962</v>
      </c>
      <c r="B441" s="3">
        <v>43562</v>
      </c>
      <c r="C441" s="2" t="s">
        <v>2963</v>
      </c>
      <c r="D441" t="s">
        <v>6176</v>
      </c>
      <c r="E441" s="2">
        <v>4</v>
      </c>
      <c r="F441" s="2" t="str">
        <f>_xlfn.XLOOKUP(C441,customers!$A440:$A1440,customers!$B440:$B1440,,0)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5">
        <f>INDEX(products!$A$1:$G$49,MATCH(orders!$D441,products!$A$1:$A$49,0),MATCH(orders!K$1,products!$A$1:$G$1,0))</f>
        <v>0.5</v>
      </c>
      <c r="L441" s="7">
        <f>INDEX(products!$A$1:$G$49,MATCH(orders!$D441,products!$A$1:$A$49,0),MATCH(orders!L$1,products!$A$1:$G$1,0))</f>
        <v>8.91</v>
      </c>
      <c r="M441" s="7">
        <f t="shared" si="18"/>
        <v>35.64</v>
      </c>
      <c r="N441" t="str">
        <f t="shared" si="19"/>
        <v>Excelsa</v>
      </c>
      <c r="O441" t="str">
        <f t="shared" si="20"/>
        <v>Light</v>
      </c>
      <c r="P441" t="str">
        <f>_xlfn.XLOOKUP(Table1[[#This Row],[Customer ID]],customers!$A$1:$A$1001,customers!$I$1:$I$1001,,0)</f>
        <v>No</v>
      </c>
    </row>
    <row r="442" spans="1:16" x14ac:dyDescent="0.2">
      <c r="A442" s="2" t="s">
        <v>2968</v>
      </c>
      <c r="B442" s="3">
        <v>44230</v>
      </c>
      <c r="C442" s="2" t="s">
        <v>2969</v>
      </c>
      <c r="D442" t="s">
        <v>6175</v>
      </c>
      <c r="E442" s="2">
        <v>4</v>
      </c>
      <c r="F442" s="2" t="str">
        <f>_xlfn.XLOOKUP(C442,customers!$A441:$A1441,customers!$B441:$B1441,,0)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5">
        <f>INDEX(products!$A$1:$G$49,MATCH(orders!$D442,products!$A$1:$A$49,0),MATCH(orders!K$1,products!$A$1:$G$1,0))</f>
        <v>2.5</v>
      </c>
      <c r="L442" s="7">
        <f>INDEX(products!$A$1:$G$49,MATCH(orders!$D442,products!$A$1:$A$49,0),MATCH(orders!L$1,products!$A$1:$G$1,0))</f>
        <v>25.874999999999996</v>
      </c>
      <c r="M442" s="7">
        <f t="shared" si="18"/>
        <v>103.49999999999999</v>
      </c>
      <c r="N442" t="str">
        <f t="shared" si="19"/>
        <v>Arabica</v>
      </c>
      <c r="O442" t="str">
        <f t="shared" si="20"/>
        <v>Medium</v>
      </c>
      <c r="P442" t="str">
        <f>_xlfn.XLOOKUP(Table1[[#This Row],[Customer ID]],customers!$A$1:$A$1001,customers!$I$1:$I$1001,,0)</f>
        <v>Yes</v>
      </c>
    </row>
    <row r="443" spans="1:16" x14ac:dyDescent="0.2">
      <c r="A443" s="2" t="s">
        <v>2974</v>
      </c>
      <c r="B443" s="3">
        <v>43573</v>
      </c>
      <c r="C443" s="2" t="s">
        <v>2975</v>
      </c>
      <c r="D443" t="s">
        <v>6183</v>
      </c>
      <c r="E443" s="2">
        <v>3</v>
      </c>
      <c r="F443" s="2" t="str">
        <f>_xlfn.XLOOKUP(C443,customers!$A442:$A1442,customers!$B442:$B1442,,0)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5">
        <f>INDEX(products!$A$1:$G$49,MATCH(orders!$D443,products!$A$1:$A$49,0),MATCH(orders!K$1,products!$A$1:$G$1,0))</f>
        <v>1</v>
      </c>
      <c r="L443" s="7">
        <f>INDEX(products!$A$1:$G$49,MATCH(orders!$D443,products!$A$1:$A$49,0),MATCH(orders!L$1,products!$A$1:$G$1,0))</f>
        <v>12.15</v>
      </c>
      <c r="M443" s="7">
        <f t="shared" si="18"/>
        <v>36.450000000000003</v>
      </c>
      <c r="N443" t="str">
        <f t="shared" si="19"/>
        <v>Excelsa</v>
      </c>
      <c r="O443" t="str">
        <f t="shared" si="20"/>
        <v>Dark</v>
      </c>
      <c r="P443" t="str">
        <f>_xlfn.XLOOKUP(Table1[[#This Row],[Customer ID]],customers!$A$1:$A$1001,customers!$I$1:$I$1001,,0)</f>
        <v>Yes</v>
      </c>
    </row>
    <row r="444" spans="1:16" x14ac:dyDescent="0.2">
      <c r="A444" s="2" t="s">
        <v>2980</v>
      </c>
      <c r="B444" s="3">
        <v>44384</v>
      </c>
      <c r="C444" s="2" t="s">
        <v>2981</v>
      </c>
      <c r="D444" t="s">
        <v>6173</v>
      </c>
      <c r="E444" s="2">
        <v>5</v>
      </c>
      <c r="F444" s="2" t="str">
        <f>_xlfn.XLOOKUP(C444,customers!$A443:$A1443,customers!$B443:$B1443,,0)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5">
        <f>INDEX(products!$A$1:$G$49,MATCH(orders!$D444,products!$A$1:$A$49,0),MATCH(orders!K$1,products!$A$1:$G$1,0))</f>
        <v>0.5</v>
      </c>
      <c r="L444" s="7">
        <f>INDEX(products!$A$1:$G$49,MATCH(orders!$D444,products!$A$1:$A$49,0),MATCH(orders!L$1,products!$A$1:$G$1,0))</f>
        <v>7.169999999999999</v>
      </c>
      <c r="M444" s="7">
        <f t="shared" si="18"/>
        <v>35.849999999999994</v>
      </c>
      <c r="N444" t="str">
        <f t="shared" si="19"/>
        <v>Robusta</v>
      </c>
      <c r="O444" t="str">
        <f t="shared" si="20"/>
        <v>Light</v>
      </c>
      <c r="P444" t="str">
        <f>_xlfn.XLOOKUP(Table1[[#This Row],[Customer ID]],customers!$A$1:$A$1001,customers!$I$1:$I$1001,,0)</f>
        <v>No</v>
      </c>
    </row>
    <row r="445" spans="1:16" x14ac:dyDescent="0.2">
      <c r="A445" s="2" t="s">
        <v>2986</v>
      </c>
      <c r="B445" s="3">
        <v>44250</v>
      </c>
      <c r="C445" s="2" t="s">
        <v>2987</v>
      </c>
      <c r="D445" t="s">
        <v>6184</v>
      </c>
      <c r="E445" s="2">
        <v>5</v>
      </c>
      <c r="F445" s="2" t="str">
        <f>_xlfn.XLOOKUP(C445,customers!$A444:$A1444,customers!$B444:$B1444,,0)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5">
        <f>INDEX(products!$A$1:$G$49,MATCH(orders!$D445,products!$A$1:$A$49,0),MATCH(orders!K$1,products!$A$1:$G$1,0))</f>
        <v>0.2</v>
      </c>
      <c r="L445" s="7">
        <f>INDEX(products!$A$1:$G$49,MATCH(orders!$D445,products!$A$1:$A$49,0),MATCH(orders!L$1,products!$A$1:$G$1,0))</f>
        <v>4.4550000000000001</v>
      </c>
      <c r="M445" s="7">
        <f t="shared" si="18"/>
        <v>22.274999999999999</v>
      </c>
      <c r="N445" t="str">
        <f t="shared" si="19"/>
        <v>Excelsa</v>
      </c>
      <c r="O445" t="str">
        <f t="shared" si="20"/>
        <v>Light</v>
      </c>
      <c r="P445" t="str">
        <f>_xlfn.XLOOKUP(Table1[[#This Row],[Customer ID]],customers!$A$1:$A$1001,customers!$I$1:$I$1001,,0)</f>
        <v>Yes</v>
      </c>
    </row>
    <row r="446" spans="1:16" x14ac:dyDescent="0.2">
      <c r="A446" s="2" t="s">
        <v>2992</v>
      </c>
      <c r="B446" s="3">
        <v>44418</v>
      </c>
      <c r="C446" s="2" t="s">
        <v>2993</v>
      </c>
      <c r="D446" t="s">
        <v>6156</v>
      </c>
      <c r="E446" s="2">
        <v>6</v>
      </c>
      <c r="F446" s="2" t="str">
        <f>_xlfn.XLOOKUP(C446,customers!$A445:$A1445,customers!$B445:$B1445,,0)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5">
        <f>INDEX(products!$A$1:$G$49,MATCH(orders!$D446,products!$A$1:$A$49,0),MATCH(orders!K$1,products!$A$1:$G$1,0))</f>
        <v>0.2</v>
      </c>
      <c r="L446" s="7">
        <f>INDEX(products!$A$1:$G$49,MATCH(orders!$D446,products!$A$1:$A$49,0),MATCH(orders!L$1,products!$A$1:$G$1,0))</f>
        <v>4.125</v>
      </c>
      <c r="M446" s="7">
        <f t="shared" si="18"/>
        <v>24.75</v>
      </c>
      <c r="N446" t="str">
        <f t="shared" si="19"/>
        <v>Excelsa</v>
      </c>
      <c r="O446" t="str">
        <f t="shared" si="20"/>
        <v>Medium</v>
      </c>
      <c r="P446" t="str">
        <f>_xlfn.XLOOKUP(Table1[[#This Row],[Customer ID]],customers!$A$1:$A$1001,customers!$I$1:$I$1001,,0)</f>
        <v>No</v>
      </c>
    </row>
    <row r="447" spans="1:16" x14ac:dyDescent="0.2">
      <c r="A447" s="2" t="s">
        <v>2999</v>
      </c>
      <c r="B447" s="3">
        <v>43784</v>
      </c>
      <c r="C447" s="2" t="s">
        <v>3000</v>
      </c>
      <c r="D447" t="s">
        <v>6181</v>
      </c>
      <c r="E447" s="2">
        <v>2</v>
      </c>
      <c r="F447" s="2" t="str">
        <f>_xlfn.XLOOKUP(C447,customers!$A446:$A1446,customers!$B446:$B1446,,0)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5">
        <f>INDEX(products!$A$1:$G$49,MATCH(orders!$D447,products!$A$1:$A$49,0),MATCH(orders!K$1,products!$A$1:$G$1,0))</f>
        <v>2.5</v>
      </c>
      <c r="L447" s="7">
        <f>INDEX(products!$A$1:$G$49,MATCH(orders!$D447,products!$A$1:$A$49,0),MATCH(orders!L$1,products!$A$1:$G$1,0))</f>
        <v>33.464999999999996</v>
      </c>
      <c r="M447" s="7">
        <f t="shared" si="18"/>
        <v>66.929999999999993</v>
      </c>
      <c r="N447" t="str">
        <f t="shared" si="19"/>
        <v>Liberica</v>
      </c>
      <c r="O447" t="str">
        <f t="shared" si="20"/>
        <v>Medium</v>
      </c>
      <c r="P447" t="str">
        <f>_xlfn.XLOOKUP(Table1[[#This Row],[Customer ID]],customers!$A$1:$A$1001,customers!$I$1:$I$1001,,0)</f>
        <v>Yes</v>
      </c>
    </row>
    <row r="448" spans="1:16" x14ac:dyDescent="0.2">
      <c r="A448" s="2" t="s">
        <v>3004</v>
      </c>
      <c r="B448" s="3">
        <v>43816</v>
      </c>
      <c r="C448" s="2" t="s">
        <v>3005</v>
      </c>
      <c r="D448" t="s">
        <v>6160</v>
      </c>
      <c r="E448" s="2">
        <v>1</v>
      </c>
      <c r="F448" s="2" t="str">
        <f>_xlfn.XLOOKUP(C448,customers!$A447:$A1447,customers!$B447:$B1447,,0)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5">
        <f>INDEX(products!$A$1:$G$49,MATCH(orders!$D448,products!$A$1:$A$49,0),MATCH(orders!K$1,products!$A$1:$G$1,0))</f>
        <v>0.5</v>
      </c>
      <c r="L448" s="7">
        <f>INDEX(products!$A$1:$G$49,MATCH(orders!$D448,products!$A$1:$A$49,0),MATCH(orders!L$1,products!$A$1:$G$1,0))</f>
        <v>8.73</v>
      </c>
      <c r="M448" s="7">
        <f t="shared" si="18"/>
        <v>8.73</v>
      </c>
      <c r="N448" t="str">
        <f t="shared" si="19"/>
        <v>Liberica</v>
      </c>
      <c r="O448" t="str">
        <f t="shared" si="20"/>
        <v>Medium</v>
      </c>
      <c r="P448" t="str">
        <f>_xlfn.XLOOKUP(Table1[[#This Row],[Customer ID]],customers!$A$1:$A$1001,customers!$I$1:$I$1001,,0)</f>
        <v>Yes</v>
      </c>
    </row>
    <row r="449" spans="1:16" x14ac:dyDescent="0.2">
      <c r="A449" s="2" t="s">
        <v>3010</v>
      </c>
      <c r="B449" s="3">
        <v>43908</v>
      </c>
      <c r="C449" s="2" t="s">
        <v>3011</v>
      </c>
      <c r="D449" t="s">
        <v>6146</v>
      </c>
      <c r="E449" s="2">
        <v>3</v>
      </c>
      <c r="F449" s="2" t="str">
        <f>_xlfn.XLOOKUP(C449,customers!$A448:$A1448,customers!$B448:$B1448,,0)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5">
        <f>INDEX(products!$A$1:$G$49,MATCH(orders!$D449,products!$A$1:$A$49,0),MATCH(orders!K$1,products!$A$1:$G$1,0))</f>
        <v>0.5</v>
      </c>
      <c r="L449" s="7">
        <f>INDEX(products!$A$1:$G$49,MATCH(orders!$D449,products!$A$1:$A$49,0),MATCH(orders!L$1,products!$A$1:$G$1,0))</f>
        <v>5.97</v>
      </c>
      <c r="M449" s="7">
        <f t="shared" si="18"/>
        <v>17.91</v>
      </c>
      <c r="N449" t="str">
        <f t="shared" si="19"/>
        <v>Robusta</v>
      </c>
      <c r="O449" t="str">
        <f t="shared" si="20"/>
        <v>Medium</v>
      </c>
      <c r="P449" t="str">
        <f>_xlfn.XLOOKUP(Table1[[#This Row],[Customer ID]],customers!$A$1:$A$1001,customers!$I$1:$I$1001,,0)</f>
        <v>No</v>
      </c>
    </row>
    <row r="450" spans="1:16" x14ac:dyDescent="0.2">
      <c r="A450" s="2" t="s">
        <v>3015</v>
      </c>
      <c r="B450" s="3">
        <v>44718</v>
      </c>
      <c r="C450" s="2" t="s">
        <v>3016</v>
      </c>
      <c r="D450" t="s">
        <v>6173</v>
      </c>
      <c r="E450" s="2">
        <v>1</v>
      </c>
      <c r="F450" s="2" t="str">
        <f>_xlfn.XLOOKUP(C450,customers!$A449:$A1449,customers!$B449:$B1449,,0)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5">
        <f>INDEX(products!$A$1:$G$49,MATCH(orders!$D450,products!$A$1:$A$49,0),MATCH(orders!K$1,products!$A$1:$G$1,0))</f>
        <v>0.5</v>
      </c>
      <c r="L450" s="7">
        <f>INDEX(products!$A$1:$G$49,MATCH(orders!$D450,products!$A$1:$A$49,0),MATCH(orders!L$1,products!$A$1:$G$1,0))</f>
        <v>7.169999999999999</v>
      </c>
      <c r="M450" s="7">
        <f t="shared" si="18"/>
        <v>7.169999999999999</v>
      </c>
      <c r="N450" t="str">
        <f t="shared" si="19"/>
        <v>Robusta</v>
      </c>
      <c r="O450" t="str">
        <f t="shared" si="20"/>
        <v>Light</v>
      </c>
      <c r="P450" t="str">
        <f>_xlfn.XLOOKUP(Table1[[#This Row],[Customer ID]],customers!$A$1:$A$1001,customers!$I$1:$I$1001,,0)</f>
        <v>No</v>
      </c>
    </row>
    <row r="451" spans="1:16" x14ac:dyDescent="0.2">
      <c r="A451" s="2" t="s">
        <v>3021</v>
      </c>
      <c r="B451" s="3">
        <v>44336</v>
      </c>
      <c r="C451" s="2" t="s">
        <v>3022</v>
      </c>
      <c r="D451" t="s">
        <v>6163</v>
      </c>
      <c r="E451" s="2">
        <v>2</v>
      </c>
      <c r="F451" s="2" t="str">
        <f>_xlfn.XLOOKUP(C451,customers!$A450:$A1450,customers!$B450:$B1450,,0)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5">
        <f>INDEX(products!$A$1:$G$49,MATCH(orders!$D451,products!$A$1:$A$49,0),MATCH(orders!K$1,products!$A$1:$G$1,0))</f>
        <v>0.2</v>
      </c>
      <c r="L451" s="7">
        <f>INDEX(products!$A$1:$G$49,MATCH(orders!$D451,products!$A$1:$A$49,0),MATCH(orders!L$1,products!$A$1:$G$1,0))</f>
        <v>2.6849999999999996</v>
      </c>
      <c r="M451" s="7">
        <f t="shared" ref="M451:M514" si="21">L451*E451</f>
        <v>5.3699999999999992</v>
      </c>
      <c r="N451" t="str">
        <f t="shared" ref="N451:N514" si="22">IF(I451="Rob","Robusta",IF(I451="Ara","Arabica",IF(I451="Exc","Excelsa",IF(I451="Lib","Liberica",""))))</f>
        <v>Robusta</v>
      </c>
      <c r="O451" t="str">
        <f t="shared" ref="O451:O514" si="23">IF(J451="M","Medium",IF(J451="L","Light",IF(J451="D","Dark","")))</f>
        <v>Dark</v>
      </c>
      <c r="P451" t="str">
        <f>_xlfn.XLOOKUP(Table1[[#This Row],[Customer ID]],customers!$A$1:$A$1001,customers!$I$1:$I$1001,,0)</f>
        <v>No</v>
      </c>
    </row>
    <row r="452" spans="1:16" x14ac:dyDescent="0.2">
      <c r="A452" s="2" t="s">
        <v>3027</v>
      </c>
      <c r="B452" s="3">
        <v>44207</v>
      </c>
      <c r="C452" s="2" t="s">
        <v>3028</v>
      </c>
      <c r="D452" t="s">
        <v>6145</v>
      </c>
      <c r="E452" s="2">
        <v>5</v>
      </c>
      <c r="F452" s="2" t="str">
        <f>_xlfn.XLOOKUP(C452,customers!$A451:$A1451,customers!$B451:$B1451,,0)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5">
        <f>INDEX(products!$A$1:$G$49,MATCH(orders!$D452,products!$A$1:$A$49,0),MATCH(orders!K$1,products!$A$1:$G$1,0))</f>
        <v>0.2</v>
      </c>
      <c r="L452" s="7">
        <f>INDEX(products!$A$1:$G$49,MATCH(orders!$D452,products!$A$1:$A$49,0),MATCH(orders!L$1,products!$A$1:$G$1,0))</f>
        <v>4.7549999999999999</v>
      </c>
      <c r="M452" s="7">
        <f t="shared" si="21"/>
        <v>23.774999999999999</v>
      </c>
      <c r="N452" t="str">
        <f t="shared" si="22"/>
        <v>Liberica</v>
      </c>
      <c r="O452" t="str">
        <f t="shared" si="23"/>
        <v>Light</v>
      </c>
      <c r="P452" t="str">
        <f>_xlfn.XLOOKUP(Table1[[#This Row],[Customer ID]],customers!$A$1:$A$1001,customers!$I$1:$I$1001,,0)</f>
        <v>No</v>
      </c>
    </row>
    <row r="453" spans="1:16" x14ac:dyDescent="0.2">
      <c r="A453" s="2" t="s">
        <v>3035</v>
      </c>
      <c r="B453" s="3">
        <v>43518</v>
      </c>
      <c r="C453" s="2" t="s">
        <v>3036</v>
      </c>
      <c r="D453" t="s">
        <v>6149</v>
      </c>
      <c r="E453" s="2">
        <v>2</v>
      </c>
      <c r="F453" s="2" t="str">
        <f>_xlfn.XLOOKUP(C453,customers!$A452:$A1452,customers!$B452:$B1452,,0)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5">
        <f>INDEX(products!$A$1:$G$49,MATCH(orders!$D453,products!$A$1:$A$49,0),MATCH(orders!K$1,products!$A$1:$G$1,0))</f>
        <v>2.5</v>
      </c>
      <c r="L453" s="7">
        <f>INDEX(products!$A$1:$G$49,MATCH(orders!$D453,products!$A$1:$A$49,0),MATCH(orders!L$1,products!$A$1:$G$1,0))</f>
        <v>20.584999999999997</v>
      </c>
      <c r="M453" s="7">
        <f t="shared" si="21"/>
        <v>41.169999999999995</v>
      </c>
      <c r="N453" t="str">
        <f t="shared" si="22"/>
        <v>Robusta</v>
      </c>
      <c r="O453" t="str">
        <f t="shared" si="23"/>
        <v>Dark</v>
      </c>
      <c r="P453" t="str">
        <f>_xlfn.XLOOKUP(Table1[[#This Row],[Customer ID]],customers!$A$1:$A$1001,customers!$I$1:$I$1001,,0)</f>
        <v>Yes</v>
      </c>
    </row>
    <row r="454" spans="1:16" x14ac:dyDescent="0.2">
      <c r="A454" s="2" t="s">
        <v>3041</v>
      </c>
      <c r="B454" s="3">
        <v>44524</v>
      </c>
      <c r="C454" s="2" t="s">
        <v>3042</v>
      </c>
      <c r="D454" t="s">
        <v>6167</v>
      </c>
      <c r="E454" s="2">
        <v>3</v>
      </c>
      <c r="F454" s="2" t="str">
        <f>_xlfn.XLOOKUP(C454,customers!$A453:$A1453,customers!$B453:$B1453,,0)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5">
        <f>INDEX(products!$A$1:$G$49,MATCH(orders!$D454,products!$A$1:$A$49,0),MATCH(orders!K$1,products!$A$1:$G$1,0))</f>
        <v>0.2</v>
      </c>
      <c r="L454" s="7">
        <f>INDEX(products!$A$1:$G$49,MATCH(orders!$D454,products!$A$1:$A$49,0),MATCH(orders!L$1,products!$A$1:$G$1,0))</f>
        <v>3.8849999999999998</v>
      </c>
      <c r="M454" s="7">
        <f t="shared" si="21"/>
        <v>11.654999999999999</v>
      </c>
      <c r="N454" t="str">
        <f t="shared" si="22"/>
        <v>Arabica</v>
      </c>
      <c r="O454" t="str">
        <f t="shared" si="23"/>
        <v>Light</v>
      </c>
      <c r="P454" t="str">
        <f>_xlfn.XLOOKUP(Table1[[#This Row],[Customer ID]],customers!$A$1:$A$1001,customers!$I$1:$I$1001,,0)</f>
        <v>No</v>
      </c>
    </row>
    <row r="455" spans="1:16" x14ac:dyDescent="0.2">
      <c r="A455" s="2" t="s">
        <v>3047</v>
      </c>
      <c r="B455" s="3">
        <v>44579</v>
      </c>
      <c r="C455" s="2" t="s">
        <v>3048</v>
      </c>
      <c r="D455" t="s">
        <v>6161</v>
      </c>
      <c r="E455" s="2">
        <v>4</v>
      </c>
      <c r="F455" s="2" t="str">
        <f>_xlfn.XLOOKUP(C455,customers!$A454:$A1454,customers!$B454:$B1454,,0)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5">
        <f>INDEX(products!$A$1:$G$49,MATCH(orders!$D455,products!$A$1:$A$49,0),MATCH(orders!K$1,products!$A$1:$G$1,0))</f>
        <v>0.5</v>
      </c>
      <c r="L455" s="7">
        <f>INDEX(products!$A$1:$G$49,MATCH(orders!$D455,products!$A$1:$A$49,0),MATCH(orders!L$1,products!$A$1:$G$1,0))</f>
        <v>9.51</v>
      </c>
      <c r="M455" s="7">
        <f t="shared" si="21"/>
        <v>38.04</v>
      </c>
      <c r="N455" t="str">
        <f t="shared" si="22"/>
        <v>Liberica</v>
      </c>
      <c r="O455" t="str">
        <f t="shared" si="23"/>
        <v>Light</v>
      </c>
      <c r="P455" t="str">
        <f>_xlfn.XLOOKUP(Table1[[#This Row],[Customer ID]],customers!$A$1:$A$1001,customers!$I$1:$I$1001,,0)</f>
        <v>No</v>
      </c>
    </row>
    <row r="456" spans="1:16" x14ac:dyDescent="0.2">
      <c r="A456" s="2" t="s">
        <v>3053</v>
      </c>
      <c r="B456" s="3">
        <v>44421</v>
      </c>
      <c r="C456" s="2" t="s">
        <v>3054</v>
      </c>
      <c r="D456" t="s">
        <v>6149</v>
      </c>
      <c r="E456" s="2">
        <v>4</v>
      </c>
      <c r="F456" s="2" t="str">
        <f>_xlfn.XLOOKUP(C456,customers!$A455:$A1455,customers!$B455:$B1455,,0)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5">
        <f>INDEX(products!$A$1:$G$49,MATCH(orders!$D456,products!$A$1:$A$49,0),MATCH(orders!K$1,products!$A$1:$G$1,0))</f>
        <v>2.5</v>
      </c>
      <c r="L456" s="7">
        <f>INDEX(products!$A$1:$G$49,MATCH(orders!$D456,products!$A$1:$A$49,0),MATCH(orders!L$1,products!$A$1:$G$1,0))</f>
        <v>20.584999999999997</v>
      </c>
      <c r="M456" s="7">
        <f t="shared" si="21"/>
        <v>82.339999999999989</v>
      </c>
      <c r="N456" t="str">
        <f t="shared" si="22"/>
        <v>Robusta</v>
      </c>
      <c r="O456" t="str">
        <f t="shared" si="23"/>
        <v>Dark</v>
      </c>
      <c r="P456" t="str">
        <f>_xlfn.XLOOKUP(Table1[[#This Row],[Customer ID]],customers!$A$1:$A$1001,customers!$I$1:$I$1001,,0)</f>
        <v>Yes</v>
      </c>
    </row>
    <row r="457" spans="1:16" x14ac:dyDescent="0.2">
      <c r="A457" s="2" t="s">
        <v>3058</v>
      </c>
      <c r="B457" s="3">
        <v>43841</v>
      </c>
      <c r="C457" s="2" t="s">
        <v>3059</v>
      </c>
      <c r="D457" t="s">
        <v>6145</v>
      </c>
      <c r="E457" s="2">
        <v>2</v>
      </c>
      <c r="F457" s="2" t="str">
        <f>_xlfn.XLOOKUP(C457,customers!$A456:$A1456,customers!$B456:$B1456,,0)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5">
        <f>INDEX(products!$A$1:$G$49,MATCH(orders!$D457,products!$A$1:$A$49,0),MATCH(orders!K$1,products!$A$1:$G$1,0))</f>
        <v>0.2</v>
      </c>
      <c r="L457" s="7">
        <f>INDEX(products!$A$1:$G$49,MATCH(orders!$D457,products!$A$1:$A$49,0),MATCH(orders!L$1,products!$A$1:$G$1,0))</f>
        <v>4.7549999999999999</v>
      </c>
      <c r="M457" s="7">
        <f t="shared" si="21"/>
        <v>9.51</v>
      </c>
      <c r="N457" t="str">
        <f t="shared" si="22"/>
        <v>Liberica</v>
      </c>
      <c r="O457" t="str">
        <f t="shared" si="23"/>
        <v>Light</v>
      </c>
      <c r="P457" t="str">
        <f>_xlfn.XLOOKUP(Table1[[#This Row],[Customer ID]],customers!$A$1:$A$1001,customers!$I$1:$I$1001,,0)</f>
        <v>Yes</v>
      </c>
    </row>
    <row r="458" spans="1:16" x14ac:dyDescent="0.2">
      <c r="A458" s="2" t="s">
        <v>3064</v>
      </c>
      <c r="B458" s="3">
        <v>44017</v>
      </c>
      <c r="C458" s="2" t="s">
        <v>3065</v>
      </c>
      <c r="D458" t="s">
        <v>6149</v>
      </c>
      <c r="E458" s="2">
        <v>2</v>
      </c>
      <c r="F458" s="2" t="str">
        <f>_xlfn.XLOOKUP(C458,customers!$A457:$A1457,customers!$B457:$B1457,,0)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5">
        <f>INDEX(products!$A$1:$G$49,MATCH(orders!$D458,products!$A$1:$A$49,0),MATCH(orders!K$1,products!$A$1:$G$1,0))</f>
        <v>2.5</v>
      </c>
      <c r="L458" s="7">
        <f>INDEX(products!$A$1:$G$49,MATCH(orders!$D458,products!$A$1:$A$49,0),MATCH(orders!L$1,products!$A$1:$G$1,0))</f>
        <v>20.584999999999997</v>
      </c>
      <c r="M458" s="7">
        <f t="shared" si="21"/>
        <v>41.169999999999995</v>
      </c>
      <c r="N458" t="str">
        <f t="shared" si="22"/>
        <v>Robusta</v>
      </c>
      <c r="O458" t="str">
        <f t="shared" si="23"/>
        <v>Dark</v>
      </c>
      <c r="P458" t="str">
        <f>_xlfn.XLOOKUP(Table1[[#This Row],[Customer ID]],customers!$A$1:$A$1001,customers!$I$1:$I$1001,,0)</f>
        <v>No</v>
      </c>
    </row>
    <row r="459" spans="1:16" x14ac:dyDescent="0.2">
      <c r="A459" s="2" t="s">
        <v>3070</v>
      </c>
      <c r="B459" s="3">
        <v>43671</v>
      </c>
      <c r="C459" s="2" t="s">
        <v>3071</v>
      </c>
      <c r="D459" t="s">
        <v>6161</v>
      </c>
      <c r="E459" s="2">
        <v>5</v>
      </c>
      <c r="F459" s="2" t="str">
        <f>_xlfn.XLOOKUP(C459,customers!$A458:$A1458,customers!$B458:$B1458,,0)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5">
        <f>INDEX(products!$A$1:$G$49,MATCH(orders!$D459,products!$A$1:$A$49,0),MATCH(orders!K$1,products!$A$1:$G$1,0))</f>
        <v>0.5</v>
      </c>
      <c r="L459" s="7">
        <f>INDEX(products!$A$1:$G$49,MATCH(orders!$D459,products!$A$1:$A$49,0),MATCH(orders!L$1,products!$A$1:$G$1,0))</f>
        <v>9.51</v>
      </c>
      <c r="M459" s="7">
        <f t="shared" si="21"/>
        <v>47.55</v>
      </c>
      <c r="N459" t="str">
        <f t="shared" si="22"/>
        <v>Liberica</v>
      </c>
      <c r="O459" t="str">
        <f t="shared" si="23"/>
        <v>Light</v>
      </c>
      <c r="P459" t="str">
        <f>_xlfn.XLOOKUP(Table1[[#This Row],[Customer ID]],customers!$A$1:$A$1001,customers!$I$1:$I$1001,,0)</f>
        <v>No</v>
      </c>
    </row>
    <row r="460" spans="1:16" x14ac:dyDescent="0.2">
      <c r="A460" s="2" t="s">
        <v>3076</v>
      </c>
      <c r="B460" s="3">
        <v>44707</v>
      </c>
      <c r="C460" s="2" t="s">
        <v>3077</v>
      </c>
      <c r="D460" t="s">
        <v>6155</v>
      </c>
      <c r="E460" s="2">
        <v>4</v>
      </c>
      <c r="F460" s="2" t="str">
        <f>_xlfn.XLOOKUP(C460,customers!$A459:$A1459,customers!$B459:$B1459,,0)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5">
        <f>INDEX(products!$A$1:$G$49,MATCH(orders!$D460,products!$A$1:$A$49,0),MATCH(orders!K$1,products!$A$1:$G$1,0))</f>
        <v>1</v>
      </c>
      <c r="L460" s="7">
        <f>INDEX(products!$A$1:$G$49,MATCH(orders!$D460,products!$A$1:$A$49,0),MATCH(orders!L$1,products!$A$1:$G$1,0))</f>
        <v>11.25</v>
      </c>
      <c r="M460" s="7">
        <f t="shared" si="21"/>
        <v>45</v>
      </c>
      <c r="N460" t="str">
        <f t="shared" si="22"/>
        <v>Arabica</v>
      </c>
      <c r="O460" t="str">
        <f t="shared" si="23"/>
        <v>Medium</v>
      </c>
      <c r="P460" t="str">
        <f>_xlfn.XLOOKUP(Table1[[#This Row],[Customer ID]],customers!$A$1:$A$1001,customers!$I$1:$I$1001,,0)</f>
        <v>No</v>
      </c>
    </row>
    <row r="461" spans="1:16" x14ac:dyDescent="0.2">
      <c r="A461" s="2" t="s">
        <v>3082</v>
      </c>
      <c r="B461" s="3">
        <v>43840</v>
      </c>
      <c r="C461" s="2" t="s">
        <v>3083</v>
      </c>
      <c r="D461" t="s">
        <v>6145</v>
      </c>
      <c r="E461" s="2">
        <v>5</v>
      </c>
      <c r="F461" s="2" t="str">
        <f>_xlfn.XLOOKUP(C461,customers!$A460:$A1460,customers!$B460:$B1460,,0)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5">
        <f>INDEX(products!$A$1:$G$49,MATCH(orders!$D461,products!$A$1:$A$49,0),MATCH(orders!K$1,products!$A$1:$G$1,0))</f>
        <v>0.2</v>
      </c>
      <c r="L461" s="7">
        <f>INDEX(products!$A$1:$G$49,MATCH(orders!$D461,products!$A$1:$A$49,0),MATCH(orders!L$1,products!$A$1:$G$1,0))</f>
        <v>4.7549999999999999</v>
      </c>
      <c r="M461" s="7">
        <f t="shared" si="21"/>
        <v>23.774999999999999</v>
      </c>
      <c r="N461" t="str">
        <f t="shared" si="22"/>
        <v>Liberica</v>
      </c>
      <c r="O461" t="str">
        <f t="shared" si="23"/>
        <v>Light</v>
      </c>
      <c r="P461" t="str">
        <f>_xlfn.XLOOKUP(Table1[[#This Row],[Customer ID]],customers!$A$1:$A$1001,customers!$I$1:$I$1001,,0)</f>
        <v>No</v>
      </c>
    </row>
    <row r="462" spans="1:16" x14ac:dyDescent="0.2">
      <c r="A462" s="2" t="s">
        <v>3088</v>
      </c>
      <c r="B462" s="3">
        <v>43602</v>
      </c>
      <c r="C462" s="2" t="s">
        <v>3089</v>
      </c>
      <c r="D462" t="s">
        <v>6172</v>
      </c>
      <c r="E462" s="2">
        <v>3</v>
      </c>
      <c r="F462" s="2" t="str">
        <f>_xlfn.XLOOKUP(C462,customers!$A461:$A1461,customers!$B461:$B1461,,0)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5">
        <f>INDEX(products!$A$1:$G$49,MATCH(orders!$D462,products!$A$1:$A$49,0),MATCH(orders!K$1,products!$A$1:$G$1,0))</f>
        <v>0.5</v>
      </c>
      <c r="L462" s="7">
        <f>INDEX(products!$A$1:$G$49,MATCH(orders!$D462,products!$A$1:$A$49,0),MATCH(orders!L$1,products!$A$1:$G$1,0))</f>
        <v>5.3699999999999992</v>
      </c>
      <c r="M462" s="7">
        <f t="shared" si="21"/>
        <v>16.11</v>
      </c>
      <c r="N462" t="str">
        <f t="shared" si="22"/>
        <v>Robusta</v>
      </c>
      <c r="O462" t="str">
        <f t="shared" si="23"/>
        <v>Dark</v>
      </c>
      <c r="P462" t="str">
        <f>_xlfn.XLOOKUP(Table1[[#This Row],[Customer ID]],customers!$A$1:$A$1001,customers!$I$1:$I$1001,,0)</f>
        <v>Yes</v>
      </c>
    </row>
    <row r="463" spans="1:16" x14ac:dyDescent="0.2">
      <c r="A463" s="2" t="s">
        <v>3094</v>
      </c>
      <c r="B463" s="3">
        <v>44036</v>
      </c>
      <c r="C463" s="2" t="s">
        <v>3095</v>
      </c>
      <c r="D463" t="s">
        <v>6163</v>
      </c>
      <c r="E463" s="2">
        <v>4</v>
      </c>
      <c r="F463" s="2" t="str">
        <f>_xlfn.XLOOKUP(C463,customers!$A462:$A1462,customers!$B462:$B1462,,0)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5">
        <f>INDEX(products!$A$1:$G$49,MATCH(orders!$D463,products!$A$1:$A$49,0),MATCH(orders!K$1,products!$A$1:$G$1,0))</f>
        <v>0.2</v>
      </c>
      <c r="L463" s="7">
        <f>INDEX(products!$A$1:$G$49,MATCH(orders!$D463,products!$A$1:$A$49,0),MATCH(orders!L$1,products!$A$1:$G$1,0))</f>
        <v>2.6849999999999996</v>
      </c>
      <c r="M463" s="7">
        <f t="shared" si="21"/>
        <v>10.739999999999998</v>
      </c>
      <c r="N463" t="str">
        <f t="shared" si="22"/>
        <v>Robusta</v>
      </c>
      <c r="O463" t="str">
        <f t="shared" si="23"/>
        <v>Dark</v>
      </c>
      <c r="P463" t="str">
        <f>_xlfn.XLOOKUP(Table1[[#This Row],[Customer ID]],customers!$A$1:$A$1001,customers!$I$1:$I$1001,,0)</f>
        <v>Yes</v>
      </c>
    </row>
    <row r="464" spans="1:16" x14ac:dyDescent="0.2">
      <c r="A464" s="2" t="s">
        <v>3100</v>
      </c>
      <c r="B464" s="3">
        <v>44124</v>
      </c>
      <c r="C464" s="2" t="s">
        <v>3101</v>
      </c>
      <c r="D464" t="s">
        <v>6147</v>
      </c>
      <c r="E464" s="2">
        <v>5</v>
      </c>
      <c r="F464" s="2" t="str">
        <f>_xlfn.XLOOKUP(C464,customers!$A463:$A1463,customers!$B463:$B1463,,0)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5">
        <f>INDEX(products!$A$1:$G$49,MATCH(orders!$D464,products!$A$1:$A$49,0),MATCH(orders!K$1,products!$A$1:$G$1,0))</f>
        <v>1</v>
      </c>
      <c r="L464" s="7">
        <f>INDEX(products!$A$1:$G$49,MATCH(orders!$D464,products!$A$1:$A$49,0),MATCH(orders!L$1,products!$A$1:$G$1,0))</f>
        <v>9.9499999999999993</v>
      </c>
      <c r="M464" s="7">
        <f t="shared" si="21"/>
        <v>49.75</v>
      </c>
      <c r="N464" t="str">
        <f t="shared" si="22"/>
        <v>Arabica</v>
      </c>
      <c r="O464" t="str">
        <f t="shared" si="23"/>
        <v>Dark</v>
      </c>
      <c r="P464" t="str">
        <f>_xlfn.XLOOKUP(Table1[[#This Row],[Customer ID]],customers!$A$1:$A$1001,customers!$I$1:$I$1001,,0)</f>
        <v>Yes</v>
      </c>
    </row>
    <row r="465" spans="1:16" x14ac:dyDescent="0.2">
      <c r="A465" s="2" t="s">
        <v>3106</v>
      </c>
      <c r="B465" s="3">
        <v>43730</v>
      </c>
      <c r="C465" s="2" t="s">
        <v>3107</v>
      </c>
      <c r="D465" t="s">
        <v>6141</v>
      </c>
      <c r="E465" s="2">
        <v>2</v>
      </c>
      <c r="F465" s="2" t="str">
        <f>_xlfn.XLOOKUP(C465,customers!$A464:$A1464,customers!$B464:$B1464,,0)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5">
        <f>INDEX(products!$A$1:$G$49,MATCH(orders!$D465,products!$A$1:$A$49,0),MATCH(orders!K$1,products!$A$1:$G$1,0))</f>
        <v>1</v>
      </c>
      <c r="L465" s="7">
        <f>INDEX(products!$A$1:$G$49,MATCH(orders!$D465,products!$A$1:$A$49,0),MATCH(orders!L$1,products!$A$1:$G$1,0))</f>
        <v>13.75</v>
      </c>
      <c r="M465" s="7">
        <f t="shared" si="21"/>
        <v>27.5</v>
      </c>
      <c r="N465" t="str">
        <f t="shared" si="22"/>
        <v>Excelsa</v>
      </c>
      <c r="O465" t="str">
        <f t="shared" si="23"/>
        <v>Medium</v>
      </c>
      <c r="P465" t="str">
        <f>_xlfn.XLOOKUP(Table1[[#This Row],[Customer ID]],customers!$A$1:$A$1001,customers!$I$1:$I$1001,,0)</f>
        <v>No</v>
      </c>
    </row>
    <row r="466" spans="1:16" x14ac:dyDescent="0.2">
      <c r="A466" s="2" t="s">
        <v>3112</v>
      </c>
      <c r="B466" s="3">
        <v>43989</v>
      </c>
      <c r="C466" s="2" t="s">
        <v>3113</v>
      </c>
      <c r="D466" t="s">
        <v>6165</v>
      </c>
      <c r="E466" s="2">
        <v>4</v>
      </c>
      <c r="F466" s="2" t="str">
        <f>_xlfn.XLOOKUP(C466,customers!$A465:$A1465,customers!$B465:$B1465,,0)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5">
        <f>INDEX(products!$A$1:$G$49,MATCH(orders!$D466,products!$A$1:$A$49,0),MATCH(orders!K$1,products!$A$1:$G$1,0))</f>
        <v>2.5</v>
      </c>
      <c r="L466" s="7">
        <f>INDEX(products!$A$1:$G$49,MATCH(orders!$D466,products!$A$1:$A$49,0),MATCH(orders!L$1,products!$A$1:$G$1,0))</f>
        <v>29.784999999999997</v>
      </c>
      <c r="M466" s="7">
        <f t="shared" si="21"/>
        <v>119.13999999999999</v>
      </c>
      <c r="N466" t="str">
        <f t="shared" si="22"/>
        <v>Liberica</v>
      </c>
      <c r="O466" t="str">
        <f t="shared" si="23"/>
        <v>Dark</v>
      </c>
      <c r="P466" t="str">
        <f>_xlfn.XLOOKUP(Table1[[#This Row],[Customer ID]],customers!$A$1:$A$1001,customers!$I$1:$I$1001,,0)</f>
        <v>No</v>
      </c>
    </row>
    <row r="467" spans="1:16" x14ac:dyDescent="0.2">
      <c r="A467" s="2" t="s">
        <v>3118</v>
      </c>
      <c r="B467" s="3">
        <v>43814</v>
      </c>
      <c r="C467" s="2" t="s">
        <v>3119</v>
      </c>
      <c r="D467" t="s">
        <v>6149</v>
      </c>
      <c r="E467" s="2">
        <v>1</v>
      </c>
      <c r="F467" s="2" t="str">
        <f>_xlfn.XLOOKUP(C467,customers!$A466:$A1466,customers!$B466:$B1466,,0)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5">
        <f>INDEX(products!$A$1:$G$49,MATCH(orders!$D467,products!$A$1:$A$49,0),MATCH(orders!K$1,products!$A$1:$G$1,0))</f>
        <v>2.5</v>
      </c>
      <c r="L467" s="7">
        <f>INDEX(products!$A$1:$G$49,MATCH(orders!$D467,products!$A$1:$A$49,0),MATCH(orders!L$1,products!$A$1:$G$1,0))</f>
        <v>20.584999999999997</v>
      </c>
      <c r="M467" s="7">
        <f t="shared" si="21"/>
        <v>20.584999999999997</v>
      </c>
      <c r="N467" t="str">
        <f t="shared" si="22"/>
        <v>Robusta</v>
      </c>
      <c r="O467" t="str">
        <f t="shared" si="23"/>
        <v>Dark</v>
      </c>
      <c r="P467" t="str">
        <f>_xlfn.XLOOKUP(Table1[[#This Row],[Customer ID]],customers!$A$1:$A$1001,customers!$I$1:$I$1001,,0)</f>
        <v>Yes</v>
      </c>
    </row>
    <row r="468" spans="1:16" x14ac:dyDescent="0.2">
      <c r="A468" s="2" t="s">
        <v>3124</v>
      </c>
      <c r="B468" s="3">
        <v>44171</v>
      </c>
      <c r="C468" s="2" t="s">
        <v>3125</v>
      </c>
      <c r="D468" t="s">
        <v>6154</v>
      </c>
      <c r="E468" s="2">
        <v>3</v>
      </c>
      <c r="F468" s="2" t="str">
        <f>_xlfn.XLOOKUP(C468,customers!$A467:$A1467,customers!$B467:$B1467,,0)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5">
        <f>INDEX(products!$A$1:$G$49,MATCH(orders!$D468,products!$A$1:$A$49,0),MATCH(orders!K$1,products!$A$1:$G$1,0))</f>
        <v>0.2</v>
      </c>
      <c r="L468" s="7">
        <f>INDEX(products!$A$1:$G$49,MATCH(orders!$D468,products!$A$1:$A$49,0),MATCH(orders!L$1,products!$A$1:$G$1,0))</f>
        <v>2.9849999999999999</v>
      </c>
      <c r="M468" s="7">
        <f t="shared" si="21"/>
        <v>8.9550000000000001</v>
      </c>
      <c r="N468" t="str">
        <f t="shared" si="22"/>
        <v>Arabica</v>
      </c>
      <c r="O468" t="str">
        <f t="shared" si="23"/>
        <v>Dark</v>
      </c>
      <c r="P468" t="str">
        <f>_xlfn.XLOOKUP(Table1[[#This Row],[Customer ID]],customers!$A$1:$A$1001,customers!$I$1:$I$1001,,0)</f>
        <v>Yes</v>
      </c>
    </row>
    <row r="469" spans="1:16" x14ac:dyDescent="0.2">
      <c r="A469" s="2" t="s">
        <v>3130</v>
      </c>
      <c r="B469" s="3">
        <v>44536</v>
      </c>
      <c r="C469" s="2" t="s">
        <v>3131</v>
      </c>
      <c r="D469" t="s">
        <v>6158</v>
      </c>
      <c r="E469" s="2">
        <v>1</v>
      </c>
      <c r="F469" s="2" t="str">
        <f>_xlfn.XLOOKUP(C469,customers!$A468:$A1468,customers!$B468:$B1468,,0)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5">
        <f>INDEX(products!$A$1:$G$49,MATCH(orders!$D469,products!$A$1:$A$49,0),MATCH(orders!K$1,products!$A$1:$G$1,0))</f>
        <v>0.5</v>
      </c>
      <c r="L469" s="7">
        <f>INDEX(products!$A$1:$G$49,MATCH(orders!$D469,products!$A$1:$A$49,0),MATCH(orders!L$1,products!$A$1:$G$1,0))</f>
        <v>5.97</v>
      </c>
      <c r="M469" s="7">
        <f t="shared" si="21"/>
        <v>5.97</v>
      </c>
      <c r="N469" t="str">
        <f t="shared" si="22"/>
        <v>Arabica</v>
      </c>
      <c r="O469" t="str">
        <f t="shared" si="23"/>
        <v>Dark</v>
      </c>
      <c r="P469" t="str">
        <f>_xlfn.XLOOKUP(Table1[[#This Row],[Customer ID]],customers!$A$1:$A$1001,customers!$I$1:$I$1001,,0)</f>
        <v>No</v>
      </c>
    </row>
    <row r="470" spans="1:16" x14ac:dyDescent="0.2">
      <c r="A470" s="2" t="s">
        <v>3136</v>
      </c>
      <c r="B470" s="3">
        <v>44023</v>
      </c>
      <c r="C470" s="2" t="s">
        <v>3137</v>
      </c>
      <c r="D470" t="s">
        <v>6141</v>
      </c>
      <c r="E470" s="2">
        <v>3</v>
      </c>
      <c r="F470" s="2" t="str">
        <f>_xlfn.XLOOKUP(C470,customers!$A469:$A1469,customers!$B469:$B1469,,0)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5">
        <f>INDEX(products!$A$1:$G$49,MATCH(orders!$D470,products!$A$1:$A$49,0),MATCH(orders!K$1,products!$A$1:$G$1,0))</f>
        <v>1</v>
      </c>
      <c r="L470" s="7">
        <f>INDEX(products!$A$1:$G$49,MATCH(orders!$D470,products!$A$1:$A$49,0),MATCH(orders!L$1,products!$A$1:$G$1,0))</f>
        <v>13.75</v>
      </c>
      <c r="M470" s="7">
        <f t="shared" si="21"/>
        <v>41.25</v>
      </c>
      <c r="N470" t="str">
        <f t="shared" si="22"/>
        <v>Excelsa</v>
      </c>
      <c r="O470" t="str">
        <f t="shared" si="23"/>
        <v>Medium</v>
      </c>
      <c r="P470" t="str">
        <f>_xlfn.XLOOKUP(Table1[[#This Row],[Customer ID]],customers!$A$1:$A$1001,customers!$I$1:$I$1001,,0)</f>
        <v>Yes</v>
      </c>
    </row>
    <row r="471" spans="1:16" x14ac:dyDescent="0.2">
      <c r="A471" s="2" t="s">
        <v>3141</v>
      </c>
      <c r="B471" s="3">
        <v>44375</v>
      </c>
      <c r="C471" s="2" t="s">
        <v>3194</v>
      </c>
      <c r="D471" t="s">
        <v>6184</v>
      </c>
      <c r="E471" s="2">
        <v>5</v>
      </c>
      <c r="F471" s="2" t="str">
        <f>_xlfn.XLOOKUP(C471,customers!$A470:$A1470,customers!$B470:$B1470,,0)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5">
        <f>INDEX(products!$A$1:$G$49,MATCH(orders!$D471,products!$A$1:$A$49,0),MATCH(orders!K$1,products!$A$1:$G$1,0))</f>
        <v>0.2</v>
      </c>
      <c r="L471" s="7">
        <f>INDEX(products!$A$1:$G$49,MATCH(orders!$D471,products!$A$1:$A$49,0),MATCH(orders!L$1,products!$A$1:$G$1,0))</f>
        <v>4.4550000000000001</v>
      </c>
      <c r="M471" s="7">
        <f t="shared" si="21"/>
        <v>22.274999999999999</v>
      </c>
      <c r="N471" t="str">
        <f t="shared" si="22"/>
        <v>Excelsa</v>
      </c>
      <c r="O471" t="str">
        <f t="shared" si="23"/>
        <v>Light</v>
      </c>
      <c r="P471" t="str">
        <f>_xlfn.XLOOKUP(Table1[[#This Row],[Customer ID]],customers!$A$1:$A$1001,customers!$I$1:$I$1001,,0)</f>
        <v>Yes</v>
      </c>
    </row>
    <row r="472" spans="1:16" x14ac:dyDescent="0.2">
      <c r="A472" s="2" t="s">
        <v>3147</v>
      </c>
      <c r="B472" s="3">
        <v>44656</v>
      </c>
      <c r="C472" s="2" t="s">
        <v>3148</v>
      </c>
      <c r="D472" t="s">
        <v>6157</v>
      </c>
      <c r="E472" s="2">
        <v>1</v>
      </c>
      <c r="F472" s="2" t="str">
        <f>_xlfn.XLOOKUP(C472,customers!$A471:$A1471,customers!$B471:$B1471,,0)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5">
        <f>INDEX(products!$A$1:$G$49,MATCH(orders!$D472,products!$A$1:$A$49,0),MATCH(orders!K$1,products!$A$1:$G$1,0))</f>
        <v>0.5</v>
      </c>
      <c r="L472" s="7">
        <f>INDEX(products!$A$1:$G$49,MATCH(orders!$D472,products!$A$1:$A$49,0),MATCH(orders!L$1,products!$A$1:$G$1,0))</f>
        <v>6.75</v>
      </c>
      <c r="M472" s="7">
        <f t="shared" si="21"/>
        <v>6.75</v>
      </c>
      <c r="N472" t="str">
        <f t="shared" si="22"/>
        <v>Arabica</v>
      </c>
      <c r="O472" t="str">
        <f t="shared" si="23"/>
        <v>Medium</v>
      </c>
      <c r="P472" t="str">
        <f>_xlfn.XLOOKUP(Table1[[#This Row],[Customer ID]],customers!$A$1:$A$1001,customers!$I$1:$I$1001,,0)</f>
        <v>Yes</v>
      </c>
    </row>
    <row r="473" spans="1:16" x14ac:dyDescent="0.2">
      <c r="A473" s="2" t="s">
        <v>3153</v>
      </c>
      <c r="B473" s="3">
        <v>44644</v>
      </c>
      <c r="C473" s="2" t="s">
        <v>3154</v>
      </c>
      <c r="D473" t="s">
        <v>6181</v>
      </c>
      <c r="E473" s="2">
        <v>4</v>
      </c>
      <c r="F473" s="2" t="str">
        <f>_xlfn.XLOOKUP(C473,customers!$A472:$A1472,customers!$B472:$B1472,,0)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5">
        <f>INDEX(products!$A$1:$G$49,MATCH(orders!$D473,products!$A$1:$A$49,0),MATCH(orders!K$1,products!$A$1:$G$1,0))</f>
        <v>2.5</v>
      </c>
      <c r="L473" s="7">
        <f>INDEX(products!$A$1:$G$49,MATCH(orders!$D473,products!$A$1:$A$49,0),MATCH(orders!L$1,products!$A$1:$G$1,0))</f>
        <v>33.464999999999996</v>
      </c>
      <c r="M473" s="7">
        <f t="shared" si="21"/>
        <v>133.85999999999999</v>
      </c>
      <c r="N473" t="str">
        <f t="shared" si="22"/>
        <v>Liberica</v>
      </c>
      <c r="O473" t="str">
        <f t="shared" si="23"/>
        <v>Medium</v>
      </c>
      <c r="P473" t="str">
        <f>_xlfn.XLOOKUP(Table1[[#This Row],[Customer ID]],customers!$A$1:$A$1001,customers!$I$1:$I$1001,,0)</f>
        <v>Yes</v>
      </c>
    </row>
    <row r="474" spans="1:16" x14ac:dyDescent="0.2">
      <c r="A474" s="2" t="s">
        <v>3158</v>
      </c>
      <c r="B474" s="3">
        <v>43869</v>
      </c>
      <c r="C474" s="2" t="s">
        <v>3159</v>
      </c>
      <c r="D474" t="s">
        <v>6154</v>
      </c>
      <c r="E474" s="2">
        <v>2</v>
      </c>
      <c r="F474" s="2" t="str">
        <f>_xlfn.XLOOKUP(C474,customers!$A473:$A1473,customers!$B473:$B1473,,0)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5">
        <f>INDEX(products!$A$1:$G$49,MATCH(orders!$D474,products!$A$1:$A$49,0),MATCH(orders!K$1,products!$A$1:$G$1,0))</f>
        <v>0.2</v>
      </c>
      <c r="L474" s="7">
        <f>INDEX(products!$A$1:$G$49,MATCH(orders!$D474,products!$A$1:$A$49,0),MATCH(orders!L$1,products!$A$1:$G$1,0))</f>
        <v>2.9849999999999999</v>
      </c>
      <c r="M474" s="7">
        <f t="shared" si="21"/>
        <v>5.97</v>
      </c>
      <c r="N474" t="str">
        <f t="shared" si="22"/>
        <v>Arabica</v>
      </c>
      <c r="O474" t="str">
        <f t="shared" si="23"/>
        <v>Dark</v>
      </c>
      <c r="P474" t="str">
        <f>_xlfn.XLOOKUP(Table1[[#This Row],[Customer ID]],customers!$A$1:$A$1001,customers!$I$1:$I$1001,,0)</f>
        <v>No</v>
      </c>
    </row>
    <row r="475" spans="1:16" x14ac:dyDescent="0.2">
      <c r="A475" s="2" t="s">
        <v>3164</v>
      </c>
      <c r="B475" s="3">
        <v>44603</v>
      </c>
      <c r="C475" s="2" t="s">
        <v>3165</v>
      </c>
      <c r="D475" t="s">
        <v>6140</v>
      </c>
      <c r="E475" s="2">
        <v>2</v>
      </c>
      <c r="F475" s="2" t="str">
        <f>_xlfn.XLOOKUP(C475,customers!$A474:$A1474,customers!$B474:$B1474,,0)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5">
        <f>INDEX(products!$A$1:$G$49,MATCH(orders!$D475,products!$A$1:$A$49,0),MATCH(orders!K$1,products!$A$1:$G$1,0))</f>
        <v>1</v>
      </c>
      <c r="L475" s="7">
        <f>INDEX(products!$A$1:$G$49,MATCH(orders!$D475,products!$A$1:$A$49,0),MATCH(orders!L$1,products!$A$1:$G$1,0))</f>
        <v>12.95</v>
      </c>
      <c r="M475" s="7">
        <f t="shared" si="21"/>
        <v>25.9</v>
      </c>
      <c r="N475" t="str">
        <f t="shared" si="22"/>
        <v>Arabica</v>
      </c>
      <c r="O475" t="str">
        <f t="shared" si="23"/>
        <v>Light</v>
      </c>
      <c r="P475" t="str">
        <f>_xlfn.XLOOKUP(Table1[[#This Row],[Customer ID]],customers!$A$1:$A$1001,customers!$I$1:$I$1001,,0)</f>
        <v>No</v>
      </c>
    </row>
    <row r="476" spans="1:16" x14ac:dyDescent="0.2">
      <c r="A476" s="2" t="s">
        <v>3170</v>
      </c>
      <c r="B476" s="3">
        <v>44014</v>
      </c>
      <c r="C476" s="2" t="s">
        <v>3171</v>
      </c>
      <c r="D476" t="s">
        <v>6166</v>
      </c>
      <c r="E476" s="2">
        <v>1</v>
      </c>
      <c r="F476" s="2" t="str">
        <f>_xlfn.XLOOKUP(C476,customers!$A475:$A1475,customers!$B475:$B1475,,0)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5">
        <f>INDEX(products!$A$1:$G$49,MATCH(orders!$D476,products!$A$1:$A$49,0),MATCH(orders!K$1,products!$A$1:$G$1,0))</f>
        <v>2.5</v>
      </c>
      <c r="L476" s="7">
        <f>INDEX(products!$A$1:$G$49,MATCH(orders!$D476,products!$A$1:$A$49,0),MATCH(orders!L$1,products!$A$1:$G$1,0))</f>
        <v>31.624999999999996</v>
      </c>
      <c r="M476" s="7">
        <f t="shared" si="21"/>
        <v>31.624999999999996</v>
      </c>
      <c r="N476" t="str">
        <f t="shared" si="22"/>
        <v>Excelsa</v>
      </c>
      <c r="O476" t="str">
        <f t="shared" si="23"/>
        <v>Medium</v>
      </c>
      <c r="P476" t="str">
        <f>_xlfn.XLOOKUP(Table1[[#This Row],[Customer ID]],customers!$A$1:$A$1001,customers!$I$1:$I$1001,,0)</f>
        <v>Yes</v>
      </c>
    </row>
    <row r="477" spans="1:16" x14ac:dyDescent="0.2">
      <c r="A477" s="2" t="s">
        <v>3176</v>
      </c>
      <c r="B477" s="3">
        <v>44767</v>
      </c>
      <c r="C477" s="2" t="s">
        <v>3177</v>
      </c>
      <c r="D477" t="s">
        <v>6159</v>
      </c>
      <c r="E477" s="2">
        <v>2</v>
      </c>
      <c r="F477" s="2" t="str">
        <f>_xlfn.XLOOKUP(C477,customers!$A476:$A1476,customers!$B476:$B1476,,0)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5">
        <f>INDEX(products!$A$1:$G$49,MATCH(orders!$D477,products!$A$1:$A$49,0),MATCH(orders!K$1,products!$A$1:$G$1,0))</f>
        <v>0.2</v>
      </c>
      <c r="L477" s="7">
        <f>INDEX(products!$A$1:$G$49,MATCH(orders!$D477,products!$A$1:$A$49,0),MATCH(orders!L$1,products!$A$1:$G$1,0))</f>
        <v>4.3650000000000002</v>
      </c>
      <c r="M477" s="7">
        <f t="shared" si="21"/>
        <v>8.73</v>
      </c>
      <c r="N477" t="str">
        <f t="shared" si="22"/>
        <v>Liberica</v>
      </c>
      <c r="O477" t="str">
        <f t="shared" si="23"/>
        <v>Medium</v>
      </c>
      <c r="P477" t="str">
        <f>_xlfn.XLOOKUP(Table1[[#This Row],[Customer ID]],customers!$A$1:$A$1001,customers!$I$1:$I$1001,,0)</f>
        <v>No</v>
      </c>
    </row>
    <row r="478" spans="1:16" x14ac:dyDescent="0.2">
      <c r="A478" s="2" t="s">
        <v>3181</v>
      </c>
      <c r="B478" s="3">
        <v>44274</v>
      </c>
      <c r="C478" s="2" t="s">
        <v>3182</v>
      </c>
      <c r="D478" t="s">
        <v>6184</v>
      </c>
      <c r="E478" s="2">
        <v>6</v>
      </c>
      <c r="F478" s="2" t="str">
        <f>_xlfn.XLOOKUP(C478,customers!$A477:$A1477,customers!$B477:$B1477,,0)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5">
        <f>INDEX(products!$A$1:$G$49,MATCH(orders!$D478,products!$A$1:$A$49,0),MATCH(orders!K$1,products!$A$1:$G$1,0))</f>
        <v>0.2</v>
      </c>
      <c r="L478" s="7">
        <f>INDEX(products!$A$1:$G$49,MATCH(orders!$D478,products!$A$1:$A$49,0),MATCH(orders!L$1,products!$A$1:$G$1,0))</f>
        <v>4.4550000000000001</v>
      </c>
      <c r="M478" s="7">
        <f t="shared" si="21"/>
        <v>26.73</v>
      </c>
      <c r="N478" t="str">
        <f t="shared" si="22"/>
        <v>Excelsa</v>
      </c>
      <c r="O478" t="str">
        <f t="shared" si="23"/>
        <v>Light</v>
      </c>
      <c r="P478" t="str">
        <f>_xlfn.XLOOKUP(Table1[[#This Row],[Customer ID]],customers!$A$1:$A$1001,customers!$I$1:$I$1001,,0)</f>
        <v>Yes</v>
      </c>
    </row>
    <row r="479" spans="1:16" x14ac:dyDescent="0.2">
      <c r="A479" s="2" t="s">
        <v>3187</v>
      </c>
      <c r="B479" s="3">
        <v>43962</v>
      </c>
      <c r="C479" s="2" t="s">
        <v>3188</v>
      </c>
      <c r="D479" t="s">
        <v>6159</v>
      </c>
      <c r="E479" s="2">
        <v>6</v>
      </c>
      <c r="F479" s="2" t="str">
        <f>_xlfn.XLOOKUP(C479,customers!$A478:$A1478,customers!$B478:$B1478,,0)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5">
        <f>INDEX(products!$A$1:$G$49,MATCH(orders!$D479,products!$A$1:$A$49,0),MATCH(orders!K$1,products!$A$1:$G$1,0))</f>
        <v>0.2</v>
      </c>
      <c r="L479" s="7">
        <f>INDEX(products!$A$1:$G$49,MATCH(orders!$D479,products!$A$1:$A$49,0),MATCH(orders!L$1,products!$A$1:$G$1,0))</f>
        <v>4.3650000000000002</v>
      </c>
      <c r="M479" s="7">
        <f t="shared" si="21"/>
        <v>26.19</v>
      </c>
      <c r="N479" t="str">
        <f t="shared" si="22"/>
        <v>Liberica</v>
      </c>
      <c r="O479" t="str">
        <f t="shared" si="23"/>
        <v>Medium</v>
      </c>
      <c r="P479" t="str">
        <f>_xlfn.XLOOKUP(Table1[[#This Row],[Customer ID]],customers!$A$1:$A$1001,customers!$I$1:$I$1001,,0)</f>
        <v>No</v>
      </c>
    </row>
    <row r="480" spans="1:16" x14ac:dyDescent="0.2">
      <c r="A480" s="2" t="s">
        <v>3193</v>
      </c>
      <c r="B480" s="3">
        <v>43624</v>
      </c>
      <c r="C480" s="2" t="s">
        <v>3194</v>
      </c>
      <c r="D480" t="s">
        <v>6177</v>
      </c>
      <c r="E480" s="2">
        <v>6</v>
      </c>
      <c r="F480" s="2" t="str">
        <f>_xlfn.XLOOKUP(C480,customers!$A479:$A1479,customers!$B479:$B1479,,0)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5">
        <f>INDEX(products!$A$1:$G$49,MATCH(orders!$D480,products!$A$1:$A$49,0),MATCH(orders!K$1,products!$A$1:$G$1,0))</f>
        <v>1</v>
      </c>
      <c r="L480" s="7">
        <f>INDEX(products!$A$1:$G$49,MATCH(orders!$D480,products!$A$1:$A$49,0),MATCH(orders!L$1,products!$A$1:$G$1,0))</f>
        <v>8.9499999999999993</v>
      </c>
      <c r="M480" s="7">
        <f t="shared" si="21"/>
        <v>53.699999999999996</v>
      </c>
      <c r="N480" t="str">
        <f t="shared" si="22"/>
        <v>Robusta</v>
      </c>
      <c r="O480" t="str">
        <f t="shared" si="23"/>
        <v>Dark</v>
      </c>
      <c r="P480" t="str">
        <f>_xlfn.XLOOKUP(Table1[[#This Row],[Customer ID]],customers!$A$1:$A$1001,customers!$I$1:$I$1001,,0)</f>
        <v>Yes</v>
      </c>
    </row>
    <row r="481" spans="1:16" x14ac:dyDescent="0.2">
      <c r="A481" s="2" t="s">
        <v>3193</v>
      </c>
      <c r="B481" s="3">
        <v>43624</v>
      </c>
      <c r="C481" s="2" t="s">
        <v>3194</v>
      </c>
      <c r="D481" t="s">
        <v>6166</v>
      </c>
      <c r="E481" s="2">
        <v>4</v>
      </c>
      <c r="F481" s="2" t="str">
        <f>_xlfn.XLOOKUP(C481,customers!$A480:$A1480,customers!$B480:$B1480,,0)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5">
        <f>INDEX(products!$A$1:$G$49,MATCH(orders!$D481,products!$A$1:$A$49,0),MATCH(orders!K$1,products!$A$1:$G$1,0))</f>
        <v>2.5</v>
      </c>
      <c r="L481" s="7">
        <f>INDEX(products!$A$1:$G$49,MATCH(orders!$D481,products!$A$1:$A$49,0),MATCH(orders!L$1,products!$A$1:$G$1,0))</f>
        <v>31.624999999999996</v>
      </c>
      <c r="M481" s="7">
        <f t="shared" si="21"/>
        <v>126.49999999999999</v>
      </c>
      <c r="N481" t="str">
        <f t="shared" si="22"/>
        <v>Excelsa</v>
      </c>
      <c r="O481" t="str">
        <f t="shared" si="23"/>
        <v>Medium</v>
      </c>
      <c r="P481" t="str">
        <f>_xlfn.XLOOKUP(Table1[[#This Row],[Customer ID]],customers!$A$1:$A$1001,customers!$I$1:$I$1001,,0)</f>
        <v>Yes</v>
      </c>
    </row>
    <row r="482" spans="1:16" x14ac:dyDescent="0.2">
      <c r="A482" s="2" t="s">
        <v>3193</v>
      </c>
      <c r="B482" s="3">
        <v>43624</v>
      </c>
      <c r="C482" s="2" t="s">
        <v>3194</v>
      </c>
      <c r="D482" t="s">
        <v>6156</v>
      </c>
      <c r="E482" s="2">
        <v>1</v>
      </c>
      <c r="F482" s="2" t="e">
        <f>_xlfn.XLOOKUP(C482,customers!$A481:$A1481,customers!$B481:$B1481,,0)</f>
        <v>#N/A</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5">
        <f>INDEX(products!$A$1:$G$49,MATCH(orders!$D482,products!$A$1:$A$49,0),MATCH(orders!K$1,products!$A$1:$G$1,0))</f>
        <v>0.2</v>
      </c>
      <c r="L482" s="7">
        <f>INDEX(products!$A$1:$G$49,MATCH(orders!$D482,products!$A$1:$A$49,0),MATCH(orders!L$1,products!$A$1:$G$1,0))</f>
        <v>4.125</v>
      </c>
      <c r="M482" s="7">
        <f t="shared" si="21"/>
        <v>4.125</v>
      </c>
      <c r="N482" t="str">
        <f t="shared" si="22"/>
        <v>Excelsa</v>
      </c>
      <c r="O482" t="str">
        <f t="shared" si="23"/>
        <v>Medium</v>
      </c>
      <c r="P482" t="str">
        <f>_xlfn.XLOOKUP(Table1[[#This Row],[Customer ID]],customers!$A$1:$A$1001,customers!$I$1:$I$1001,,0)</f>
        <v>Yes</v>
      </c>
    </row>
    <row r="483" spans="1:16" x14ac:dyDescent="0.2">
      <c r="A483" s="2" t="s">
        <v>3208</v>
      </c>
      <c r="B483" s="3">
        <v>43747</v>
      </c>
      <c r="C483" s="2" t="s">
        <v>3209</v>
      </c>
      <c r="D483" t="s">
        <v>6179</v>
      </c>
      <c r="E483" s="2">
        <v>2</v>
      </c>
      <c r="F483" s="2" t="str">
        <f>_xlfn.XLOOKUP(C483,customers!$A482:$A1482,customers!$B482:$B1482,,0)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5">
        <f>INDEX(products!$A$1:$G$49,MATCH(orders!$D483,products!$A$1:$A$49,0),MATCH(orders!K$1,products!$A$1:$G$1,0))</f>
        <v>1</v>
      </c>
      <c r="L483" s="7">
        <f>INDEX(products!$A$1:$G$49,MATCH(orders!$D483,products!$A$1:$A$49,0),MATCH(orders!L$1,products!$A$1:$G$1,0))</f>
        <v>11.95</v>
      </c>
      <c r="M483" s="7">
        <f t="shared" si="21"/>
        <v>23.9</v>
      </c>
      <c r="N483" t="str">
        <f t="shared" si="22"/>
        <v>Robusta</v>
      </c>
      <c r="O483" t="str">
        <f t="shared" si="23"/>
        <v>Light</v>
      </c>
      <c r="P483" t="str">
        <f>_xlfn.XLOOKUP(Table1[[#This Row],[Customer ID]],customers!$A$1:$A$1001,customers!$I$1:$I$1001,,0)</f>
        <v>No</v>
      </c>
    </row>
    <row r="484" spans="1:16" x14ac:dyDescent="0.2">
      <c r="A484" s="2" t="s">
        <v>3214</v>
      </c>
      <c r="B484" s="3">
        <v>44247</v>
      </c>
      <c r="C484" s="2" t="s">
        <v>3215</v>
      </c>
      <c r="D484" t="s">
        <v>6185</v>
      </c>
      <c r="E484" s="2">
        <v>5</v>
      </c>
      <c r="F484" s="2" t="str">
        <f>_xlfn.XLOOKUP(C484,customers!$A483:$A1483,customers!$B483:$B1483,,0)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5">
        <f>INDEX(products!$A$1:$G$49,MATCH(orders!$D484,products!$A$1:$A$49,0),MATCH(orders!K$1,products!$A$1:$G$1,0))</f>
        <v>2.5</v>
      </c>
      <c r="L484" s="7">
        <f>INDEX(products!$A$1:$G$49,MATCH(orders!$D484,products!$A$1:$A$49,0),MATCH(orders!L$1,products!$A$1:$G$1,0))</f>
        <v>27.945</v>
      </c>
      <c r="M484" s="7">
        <f t="shared" si="21"/>
        <v>139.72499999999999</v>
      </c>
      <c r="N484" t="str">
        <f t="shared" si="22"/>
        <v>Excelsa</v>
      </c>
      <c r="O484" t="str">
        <f t="shared" si="23"/>
        <v>Dark</v>
      </c>
      <c r="P484" t="str">
        <f>_xlfn.XLOOKUP(Table1[[#This Row],[Customer ID]],customers!$A$1:$A$1001,customers!$I$1:$I$1001,,0)</f>
        <v>Yes</v>
      </c>
    </row>
    <row r="485" spans="1:16" x14ac:dyDescent="0.2">
      <c r="A485" s="2" t="s">
        <v>3220</v>
      </c>
      <c r="B485" s="3">
        <v>43790</v>
      </c>
      <c r="C485" s="2" t="s">
        <v>3221</v>
      </c>
      <c r="D485" t="s">
        <v>6165</v>
      </c>
      <c r="E485" s="2">
        <v>2</v>
      </c>
      <c r="F485" s="2" t="str">
        <f>_xlfn.XLOOKUP(C485,customers!$A484:$A1484,customers!$B484:$B1484,,0)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5">
        <f>INDEX(products!$A$1:$G$49,MATCH(orders!$D485,products!$A$1:$A$49,0),MATCH(orders!K$1,products!$A$1:$G$1,0))</f>
        <v>2.5</v>
      </c>
      <c r="L485" s="7">
        <f>INDEX(products!$A$1:$G$49,MATCH(orders!$D485,products!$A$1:$A$49,0),MATCH(orders!L$1,products!$A$1:$G$1,0))</f>
        <v>29.784999999999997</v>
      </c>
      <c r="M485" s="7">
        <f t="shared" si="21"/>
        <v>59.569999999999993</v>
      </c>
      <c r="N485" t="str">
        <f t="shared" si="22"/>
        <v>Liberica</v>
      </c>
      <c r="O485" t="str">
        <f t="shared" si="23"/>
        <v>Dark</v>
      </c>
      <c r="P485" t="str">
        <f>_xlfn.XLOOKUP(Table1[[#This Row],[Customer ID]],customers!$A$1:$A$1001,customers!$I$1:$I$1001,,0)</f>
        <v>Yes</v>
      </c>
    </row>
    <row r="486" spans="1:16" x14ac:dyDescent="0.2">
      <c r="A486" s="2" t="s">
        <v>3225</v>
      </c>
      <c r="B486" s="3">
        <v>44479</v>
      </c>
      <c r="C486" s="2" t="s">
        <v>3226</v>
      </c>
      <c r="D486" t="s">
        <v>6161</v>
      </c>
      <c r="E486" s="2">
        <v>6</v>
      </c>
      <c r="F486" s="2" t="str">
        <f>_xlfn.XLOOKUP(C486,customers!$A485:$A1485,customers!$B485:$B1485,,0)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5">
        <f>INDEX(products!$A$1:$G$49,MATCH(orders!$D486,products!$A$1:$A$49,0),MATCH(orders!K$1,products!$A$1:$G$1,0))</f>
        <v>0.5</v>
      </c>
      <c r="L486" s="7">
        <f>INDEX(products!$A$1:$G$49,MATCH(orders!$D486,products!$A$1:$A$49,0),MATCH(orders!L$1,products!$A$1:$G$1,0))</f>
        <v>9.51</v>
      </c>
      <c r="M486" s="7">
        <f t="shared" si="21"/>
        <v>57.06</v>
      </c>
      <c r="N486" t="str">
        <f t="shared" si="22"/>
        <v>Liberica</v>
      </c>
      <c r="O486" t="str">
        <f t="shared" si="23"/>
        <v>Light</v>
      </c>
      <c r="P486" t="str">
        <f>_xlfn.XLOOKUP(Table1[[#This Row],[Customer ID]],customers!$A$1:$A$1001,customers!$I$1:$I$1001,,0)</f>
        <v>No</v>
      </c>
    </row>
    <row r="487" spans="1:16" x14ac:dyDescent="0.2">
      <c r="A487" s="2" t="s">
        <v>3230</v>
      </c>
      <c r="B487" s="3">
        <v>44413</v>
      </c>
      <c r="C487" s="2" t="s">
        <v>3231</v>
      </c>
      <c r="D487" t="s">
        <v>6178</v>
      </c>
      <c r="E487" s="2">
        <v>6</v>
      </c>
      <c r="F487" s="2" t="str">
        <f>_xlfn.XLOOKUP(C487,customers!$A486:$A1486,customers!$B486:$B1486,,0)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5">
        <f>INDEX(products!$A$1:$G$49,MATCH(orders!$D487,products!$A$1:$A$49,0),MATCH(orders!K$1,products!$A$1:$G$1,0))</f>
        <v>0.2</v>
      </c>
      <c r="L487" s="7">
        <f>INDEX(products!$A$1:$G$49,MATCH(orders!$D487,products!$A$1:$A$49,0),MATCH(orders!L$1,products!$A$1:$G$1,0))</f>
        <v>3.5849999999999995</v>
      </c>
      <c r="M487" s="7">
        <f t="shared" si="21"/>
        <v>21.509999999999998</v>
      </c>
      <c r="N487" t="str">
        <f t="shared" si="22"/>
        <v>Robusta</v>
      </c>
      <c r="O487" t="str">
        <f t="shared" si="23"/>
        <v>Light</v>
      </c>
      <c r="P487" t="str">
        <f>_xlfn.XLOOKUP(Table1[[#This Row],[Customer ID]],customers!$A$1:$A$1001,customers!$I$1:$I$1001,,0)</f>
        <v>Yes</v>
      </c>
    </row>
    <row r="488" spans="1:16" x14ac:dyDescent="0.2">
      <c r="A488" s="2" t="s">
        <v>3236</v>
      </c>
      <c r="B488" s="3">
        <v>44043</v>
      </c>
      <c r="C488" s="2" t="s">
        <v>3237</v>
      </c>
      <c r="D488" t="s">
        <v>6160</v>
      </c>
      <c r="E488" s="2">
        <v>6</v>
      </c>
      <c r="F488" s="2" t="str">
        <f>_xlfn.XLOOKUP(C488,customers!$A487:$A1487,customers!$B487:$B1487,,0)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5">
        <f>INDEX(products!$A$1:$G$49,MATCH(orders!$D488,products!$A$1:$A$49,0),MATCH(orders!K$1,products!$A$1:$G$1,0))</f>
        <v>0.5</v>
      </c>
      <c r="L488" s="7">
        <f>INDEX(products!$A$1:$G$49,MATCH(orders!$D488,products!$A$1:$A$49,0),MATCH(orders!L$1,products!$A$1:$G$1,0))</f>
        <v>8.73</v>
      </c>
      <c r="M488" s="7">
        <f t="shared" si="21"/>
        <v>52.38</v>
      </c>
      <c r="N488" t="str">
        <f t="shared" si="22"/>
        <v>Liberica</v>
      </c>
      <c r="O488" t="str">
        <f t="shared" si="23"/>
        <v>Medium</v>
      </c>
      <c r="P488" t="str">
        <f>_xlfn.XLOOKUP(Table1[[#This Row],[Customer ID]],customers!$A$1:$A$1001,customers!$I$1:$I$1001,,0)</f>
        <v>Yes</v>
      </c>
    </row>
    <row r="489" spans="1:16" x14ac:dyDescent="0.2">
      <c r="A489" s="2" t="s">
        <v>3242</v>
      </c>
      <c r="B489" s="3">
        <v>44093</v>
      </c>
      <c r="C489" s="2" t="s">
        <v>3243</v>
      </c>
      <c r="D489" t="s">
        <v>6183</v>
      </c>
      <c r="E489" s="2">
        <v>6</v>
      </c>
      <c r="F489" s="2" t="str">
        <f>_xlfn.XLOOKUP(C489,customers!$A488:$A1488,customers!$B488:$B1488,,0)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5">
        <f>INDEX(products!$A$1:$G$49,MATCH(orders!$D489,products!$A$1:$A$49,0),MATCH(orders!K$1,products!$A$1:$G$1,0))</f>
        <v>1</v>
      </c>
      <c r="L489" s="7">
        <f>INDEX(products!$A$1:$G$49,MATCH(orders!$D489,products!$A$1:$A$49,0),MATCH(orders!L$1,products!$A$1:$G$1,0))</f>
        <v>12.15</v>
      </c>
      <c r="M489" s="7">
        <f t="shared" si="21"/>
        <v>72.900000000000006</v>
      </c>
      <c r="N489" t="str">
        <f t="shared" si="22"/>
        <v>Excelsa</v>
      </c>
      <c r="O489" t="str">
        <f t="shared" si="23"/>
        <v>Dark</v>
      </c>
      <c r="P489" t="str">
        <f>_xlfn.XLOOKUP(Table1[[#This Row],[Customer ID]],customers!$A$1:$A$1001,customers!$I$1:$I$1001,,0)</f>
        <v>No</v>
      </c>
    </row>
    <row r="490" spans="1:16" x14ac:dyDescent="0.2">
      <c r="A490" s="2" t="s">
        <v>3248</v>
      </c>
      <c r="B490" s="3">
        <v>43954</v>
      </c>
      <c r="C490" s="2" t="s">
        <v>3249</v>
      </c>
      <c r="D490" t="s">
        <v>6174</v>
      </c>
      <c r="E490" s="2">
        <v>5</v>
      </c>
      <c r="F490" s="2" t="str">
        <f>_xlfn.XLOOKUP(C490,customers!$A489:$A1489,customers!$B489:$B1489,,0)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5">
        <f>INDEX(products!$A$1:$G$49,MATCH(orders!$D490,products!$A$1:$A$49,0),MATCH(orders!K$1,products!$A$1:$G$1,0))</f>
        <v>0.2</v>
      </c>
      <c r="L490" s="7">
        <f>INDEX(products!$A$1:$G$49,MATCH(orders!$D490,products!$A$1:$A$49,0),MATCH(orders!L$1,products!$A$1:$G$1,0))</f>
        <v>2.9849999999999999</v>
      </c>
      <c r="M490" s="7">
        <f t="shared" si="21"/>
        <v>14.924999999999999</v>
      </c>
      <c r="N490" t="str">
        <f t="shared" si="22"/>
        <v>Robusta</v>
      </c>
      <c r="O490" t="str">
        <f t="shared" si="23"/>
        <v>Medium</v>
      </c>
      <c r="P490" t="str">
        <f>_xlfn.XLOOKUP(Table1[[#This Row],[Customer ID]],customers!$A$1:$A$1001,customers!$I$1:$I$1001,,0)</f>
        <v>Yes</v>
      </c>
    </row>
    <row r="491" spans="1:16" x14ac:dyDescent="0.2">
      <c r="A491" s="2" t="s">
        <v>3254</v>
      </c>
      <c r="B491" s="3">
        <v>43654</v>
      </c>
      <c r="C491" s="2" t="s">
        <v>3255</v>
      </c>
      <c r="D491" t="s">
        <v>6170</v>
      </c>
      <c r="E491" s="2">
        <v>6</v>
      </c>
      <c r="F491" s="2" t="str">
        <f>_xlfn.XLOOKUP(C491,customers!$A490:$A1490,customers!$B490:$B1490,,0)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5">
        <f>INDEX(products!$A$1:$G$49,MATCH(orders!$D491,products!$A$1:$A$49,0),MATCH(orders!K$1,products!$A$1:$G$1,0))</f>
        <v>1</v>
      </c>
      <c r="L491" s="7">
        <f>INDEX(products!$A$1:$G$49,MATCH(orders!$D491,products!$A$1:$A$49,0),MATCH(orders!L$1,products!$A$1:$G$1,0))</f>
        <v>15.85</v>
      </c>
      <c r="M491" s="7">
        <f t="shared" si="21"/>
        <v>95.1</v>
      </c>
      <c r="N491" t="str">
        <f t="shared" si="22"/>
        <v>Liberica</v>
      </c>
      <c r="O491" t="str">
        <f t="shared" si="23"/>
        <v>Light</v>
      </c>
      <c r="P491" t="str">
        <f>_xlfn.XLOOKUP(Table1[[#This Row],[Customer ID]],customers!$A$1:$A$1001,customers!$I$1:$I$1001,,0)</f>
        <v>No</v>
      </c>
    </row>
    <row r="492" spans="1:16" x14ac:dyDescent="0.2">
      <c r="A492" s="2" t="s">
        <v>3260</v>
      </c>
      <c r="B492" s="3">
        <v>43764</v>
      </c>
      <c r="C492" s="2" t="s">
        <v>3261</v>
      </c>
      <c r="D492" t="s">
        <v>6169</v>
      </c>
      <c r="E492" s="2">
        <v>2</v>
      </c>
      <c r="F492" s="2" t="str">
        <f>_xlfn.XLOOKUP(C492,customers!$A491:$A1491,customers!$B491:$B1491,,0)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5">
        <f>INDEX(products!$A$1:$G$49,MATCH(orders!$D492,products!$A$1:$A$49,0),MATCH(orders!K$1,products!$A$1:$G$1,0))</f>
        <v>0.5</v>
      </c>
      <c r="L492" s="7">
        <f>INDEX(products!$A$1:$G$49,MATCH(orders!$D492,products!$A$1:$A$49,0),MATCH(orders!L$1,products!$A$1:$G$1,0))</f>
        <v>7.77</v>
      </c>
      <c r="M492" s="7">
        <f t="shared" si="21"/>
        <v>15.54</v>
      </c>
      <c r="N492" t="str">
        <f t="shared" si="22"/>
        <v>Liberica</v>
      </c>
      <c r="O492" t="str">
        <f t="shared" si="23"/>
        <v>Dark</v>
      </c>
      <c r="P492" t="str">
        <f>_xlfn.XLOOKUP(Table1[[#This Row],[Customer ID]],customers!$A$1:$A$1001,customers!$I$1:$I$1001,,0)</f>
        <v>No</v>
      </c>
    </row>
    <row r="493" spans="1:16" x14ac:dyDescent="0.2">
      <c r="A493" s="2" t="s">
        <v>3266</v>
      </c>
      <c r="B493" s="3">
        <v>44101</v>
      </c>
      <c r="C493" s="2" t="s">
        <v>3267</v>
      </c>
      <c r="D493" t="s">
        <v>6150</v>
      </c>
      <c r="E493" s="2">
        <v>6</v>
      </c>
      <c r="F493" s="2" t="str">
        <f>_xlfn.XLOOKUP(C493,customers!$A492:$A1492,customers!$B492:$B1492,,0)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5">
        <f>INDEX(products!$A$1:$G$49,MATCH(orders!$D493,products!$A$1:$A$49,0),MATCH(orders!K$1,products!$A$1:$G$1,0))</f>
        <v>0.2</v>
      </c>
      <c r="L493" s="7">
        <f>INDEX(products!$A$1:$G$49,MATCH(orders!$D493,products!$A$1:$A$49,0),MATCH(orders!L$1,products!$A$1:$G$1,0))</f>
        <v>3.8849999999999998</v>
      </c>
      <c r="M493" s="7">
        <f t="shared" si="21"/>
        <v>23.31</v>
      </c>
      <c r="N493" t="str">
        <f t="shared" si="22"/>
        <v>Liberica</v>
      </c>
      <c r="O493" t="str">
        <f t="shared" si="23"/>
        <v>Dark</v>
      </c>
      <c r="P493" t="str">
        <f>_xlfn.XLOOKUP(Table1[[#This Row],[Customer ID]],customers!$A$1:$A$1001,customers!$I$1:$I$1001,,0)</f>
        <v>No</v>
      </c>
    </row>
    <row r="494" spans="1:16" x14ac:dyDescent="0.2">
      <c r="A494" s="2" t="s">
        <v>3271</v>
      </c>
      <c r="B494" s="3">
        <v>44620</v>
      </c>
      <c r="C494" s="2" t="s">
        <v>3272</v>
      </c>
      <c r="D494" t="s">
        <v>6156</v>
      </c>
      <c r="E494" s="2">
        <v>1</v>
      </c>
      <c r="F494" s="2" t="str">
        <f>_xlfn.XLOOKUP(C494,customers!$A493:$A1493,customers!$B493:$B1493,,0)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5">
        <f>INDEX(products!$A$1:$G$49,MATCH(orders!$D494,products!$A$1:$A$49,0),MATCH(orders!K$1,products!$A$1:$G$1,0))</f>
        <v>0.2</v>
      </c>
      <c r="L494" s="7">
        <f>INDEX(products!$A$1:$G$49,MATCH(orders!$D494,products!$A$1:$A$49,0),MATCH(orders!L$1,products!$A$1:$G$1,0))</f>
        <v>4.125</v>
      </c>
      <c r="M494" s="7">
        <f t="shared" si="21"/>
        <v>4.125</v>
      </c>
      <c r="N494" t="str">
        <f t="shared" si="22"/>
        <v>Excelsa</v>
      </c>
      <c r="O494" t="str">
        <f t="shared" si="23"/>
        <v>Medium</v>
      </c>
      <c r="P494" t="str">
        <f>_xlfn.XLOOKUP(Table1[[#This Row],[Customer ID]],customers!$A$1:$A$1001,customers!$I$1:$I$1001,,0)</f>
        <v>Yes</v>
      </c>
    </row>
    <row r="495" spans="1:16" x14ac:dyDescent="0.2">
      <c r="A495" s="2" t="s">
        <v>3277</v>
      </c>
      <c r="B495" s="3">
        <v>44090</v>
      </c>
      <c r="C495" s="2" t="s">
        <v>3278</v>
      </c>
      <c r="D495" t="s">
        <v>6146</v>
      </c>
      <c r="E495" s="2">
        <v>6</v>
      </c>
      <c r="F495" s="2" t="str">
        <f>_xlfn.XLOOKUP(C495,customers!$A494:$A1494,customers!$B494:$B1494,,0)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5">
        <f>INDEX(products!$A$1:$G$49,MATCH(orders!$D495,products!$A$1:$A$49,0),MATCH(orders!K$1,products!$A$1:$G$1,0))</f>
        <v>0.5</v>
      </c>
      <c r="L495" s="7">
        <f>INDEX(products!$A$1:$G$49,MATCH(orders!$D495,products!$A$1:$A$49,0),MATCH(orders!L$1,products!$A$1:$G$1,0))</f>
        <v>5.97</v>
      </c>
      <c r="M495" s="7">
        <f t="shared" si="21"/>
        <v>35.82</v>
      </c>
      <c r="N495" t="str">
        <f t="shared" si="22"/>
        <v>Robusta</v>
      </c>
      <c r="O495" t="str">
        <f t="shared" si="23"/>
        <v>Medium</v>
      </c>
      <c r="P495" t="str">
        <f>_xlfn.XLOOKUP(Table1[[#This Row],[Customer ID]],customers!$A$1:$A$1001,customers!$I$1:$I$1001,,0)</f>
        <v>No</v>
      </c>
    </row>
    <row r="496" spans="1:16" x14ac:dyDescent="0.2">
      <c r="A496" s="2" t="s">
        <v>3283</v>
      </c>
      <c r="B496" s="3">
        <v>44132</v>
      </c>
      <c r="C496" s="2" t="s">
        <v>3284</v>
      </c>
      <c r="D496" t="s">
        <v>6170</v>
      </c>
      <c r="E496" s="2">
        <v>2</v>
      </c>
      <c r="F496" s="2" t="str">
        <f>_xlfn.XLOOKUP(C496,customers!$A495:$A1495,customers!$B495:$B1495,,0)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5">
        <f>INDEX(products!$A$1:$G$49,MATCH(orders!$D496,products!$A$1:$A$49,0),MATCH(orders!K$1,products!$A$1:$G$1,0))</f>
        <v>1</v>
      </c>
      <c r="L496" s="7">
        <f>INDEX(products!$A$1:$G$49,MATCH(orders!$D496,products!$A$1:$A$49,0),MATCH(orders!L$1,products!$A$1:$G$1,0))</f>
        <v>15.85</v>
      </c>
      <c r="M496" s="7">
        <f t="shared" si="21"/>
        <v>31.7</v>
      </c>
      <c r="N496" t="str">
        <f t="shared" si="22"/>
        <v>Liberica</v>
      </c>
      <c r="O496" t="str">
        <f t="shared" si="23"/>
        <v>Light</v>
      </c>
      <c r="P496" t="str">
        <f>_xlfn.XLOOKUP(Table1[[#This Row],[Customer ID]],customers!$A$1:$A$1001,customers!$I$1:$I$1001,,0)</f>
        <v>No</v>
      </c>
    </row>
    <row r="497" spans="1:16" x14ac:dyDescent="0.2">
      <c r="A497" s="2" t="s">
        <v>3289</v>
      </c>
      <c r="B497" s="3">
        <v>43710</v>
      </c>
      <c r="C497" s="2" t="s">
        <v>3290</v>
      </c>
      <c r="D497" t="s">
        <v>6170</v>
      </c>
      <c r="E497" s="2">
        <v>5</v>
      </c>
      <c r="F497" s="2" t="str">
        <f>_xlfn.XLOOKUP(C497,customers!$A496:$A1496,customers!$B496:$B1496,,0)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5">
        <f>INDEX(products!$A$1:$G$49,MATCH(orders!$D497,products!$A$1:$A$49,0),MATCH(orders!K$1,products!$A$1:$G$1,0))</f>
        <v>1</v>
      </c>
      <c r="L497" s="7">
        <f>INDEX(products!$A$1:$G$49,MATCH(orders!$D497,products!$A$1:$A$49,0),MATCH(orders!L$1,products!$A$1:$G$1,0))</f>
        <v>15.85</v>
      </c>
      <c r="M497" s="7">
        <f t="shared" si="21"/>
        <v>79.25</v>
      </c>
      <c r="N497" t="str">
        <f t="shared" si="22"/>
        <v>Liberica</v>
      </c>
      <c r="O497" t="str">
        <f t="shared" si="23"/>
        <v>Light</v>
      </c>
      <c r="P497" t="str">
        <f>_xlfn.XLOOKUP(Table1[[#This Row],[Customer ID]],customers!$A$1:$A$1001,customers!$I$1:$I$1001,,0)</f>
        <v>Yes</v>
      </c>
    </row>
    <row r="498" spans="1:16" x14ac:dyDescent="0.2">
      <c r="A498" s="2" t="s">
        <v>3294</v>
      </c>
      <c r="B498" s="3">
        <v>44438</v>
      </c>
      <c r="C498" s="2" t="s">
        <v>3295</v>
      </c>
      <c r="D498" t="s">
        <v>6153</v>
      </c>
      <c r="E498" s="2">
        <v>3</v>
      </c>
      <c r="F498" s="2" t="str">
        <f>_xlfn.XLOOKUP(C498,customers!$A497:$A1497,customers!$B497:$B1497,,0)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5">
        <f>INDEX(products!$A$1:$G$49,MATCH(orders!$D498,products!$A$1:$A$49,0),MATCH(orders!K$1,products!$A$1:$G$1,0))</f>
        <v>0.2</v>
      </c>
      <c r="L498" s="7">
        <f>INDEX(products!$A$1:$G$49,MATCH(orders!$D498,products!$A$1:$A$49,0),MATCH(orders!L$1,products!$A$1:$G$1,0))</f>
        <v>3.645</v>
      </c>
      <c r="M498" s="7">
        <f t="shared" si="21"/>
        <v>10.935</v>
      </c>
      <c r="N498" t="str">
        <f t="shared" si="22"/>
        <v>Excelsa</v>
      </c>
      <c r="O498" t="str">
        <f t="shared" si="23"/>
        <v>Dark</v>
      </c>
      <c r="P498" t="str">
        <f>_xlfn.XLOOKUP(Table1[[#This Row],[Customer ID]],customers!$A$1:$A$1001,customers!$I$1:$I$1001,,0)</f>
        <v>No</v>
      </c>
    </row>
    <row r="499" spans="1:16" x14ac:dyDescent="0.2">
      <c r="A499" s="2" t="s">
        <v>3300</v>
      </c>
      <c r="B499" s="3">
        <v>44351</v>
      </c>
      <c r="C499" s="2" t="s">
        <v>3301</v>
      </c>
      <c r="D499" t="s">
        <v>6147</v>
      </c>
      <c r="E499" s="2">
        <v>4</v>
      </c>
      <c r="F499" s="2" t="str">
        <f>_xlfn.XLOOKUP(C499,customers!$A498:$A1498,customers!$B498:$B1498,,0)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5">
        <f>INDEX(products!$A$1:$G$49,MATCH(orders!$D499,products!$A$1:$A$49,0),MATCH(orders!K$1,products!$A$1:$G$1,0))</f>
        <v>1</v>
      </c>
      <c r="L499" s="7">
        <f>INDEX(products!$A$1:$G$49,MATCH(orders!$D499,products!$A$1:$A$49,0),MATCH(orders!L$1,products!$A$1:$G$1,0))</f>
        <v>9.9499999999999993</v>
      </c>
      <c r="M499" s="7">
        <f t="shared" si="21"/>
        <v>39.799999999999997</v>
      </c>
      <c r="N499" t="str">
        <f t="shared" si="22"/>
        <v>Arabica</v>
      </c>
      <c r="O499" t="str">
        <f t="shared" si="23"/>
        <v>Dark</v>
      </c>
      <c r="P499" t="str">
        <f>_xlfn.XLOOKUP(Table1[[#This Row],[Customer ID]],customers!$A$1:$A$1001,customers!$I$1:$I$1001,,0)</f>
        <v>No</v>
      </c>
    </row>
    <row r="500" spans="1:16" x14ac:dyDescent="0.2">
      <c r="A500" s="2" t="s">
        <v>3307</v>
      </c>
      <c r="B500" s="3">
        <v>44159</v>
      </c>
      <c r="C500" s="2" t="s">
        <v>3368</v>
      </c>
      <c r="D500" t="s">
        <v>6138</v>
      </c>
      <c r="E500" s="2">
        <v>5</v>
      </c>
      <c r="F500" s="2" t="str">
        <f>_xlfn.XLOOKUP(C500,customers!$A499:$A1499,customers!$B499:$B1499,,0)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5">
        <f>INDEX(products!$A$1:$G$49,MATCH(orders!$D500,products!$A$1:$A$49,0),MATCH(orders!K$1,products!$A$1:$G$1,0))</f>
        <v>1</v>
      </c>
      <c r="L500" s="7">
        <f>INDEX(products!$A$1:$G$49,MATCH(orders!$D500,products!$A$1:$A$49,0),MATCH(orders!L$1,products!$A$1:$G$1,0))</f>
        <v>9.9499999999999993</v>
      </c>
      <c r="M500" s="7">
        <f t="shared" si="21"/>
        <v>49.75</v>
      </c>
      <c r="N500" t="str">
        <f t="shared" si="22"/>
        <v>Robusta</v>
      </c>
      <c r="O500" t="str">
        <f t="shared" si="23"/>
        <v>Medium</v>
      </c>
      <c r="P500" t="str">
        <f>_xlfn.XLOOKUP(Table1[[#This Row],[Customer ID]],customers!$A$1:$A$1001,customers!$I$1:$I$1001,,0)</f>
        <v>Yes</v>
      </c>
    </row>
    <row r="501" spans="1:16" x14ac:dyDescent="0.2">
      <c r="A501" s="2" t="s">
        <v>3313</v>
      </c>
      <c r="B501" s="3">
        <v>44003</v>
      </c>
      <c r="C501" s="2" t="s">
        <v>3314</v>
      </c>
      <c r="D501" t="s">
        <v>6163</v>
      </c>
      <c r="E501" s="2">
        <v>3</v>
      </c>
      <c r="F501" s="2" t="str">
        <f>_xlfn.XLOOKUP(C501,customers!$A500:$A1500,customers!$B500:$B1500,,0)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5">
        <f>INDEX(products!$A$1:$G$49,MATCH(orders!$D501,products!$A$1:$A$49,0),MATCH(orders!K$1,products!$A$1:$G$1,0))</f>
        <v>0.2</v>
      </c>
      <c r="L501" s="7">
        <f>INDEX(products!$A$1:$G$49,MATCH(orders!$D501,products!$A$1:$A$49,0),MATCH(orders!L$1,products!$A$1:$G$1,0))</f>
        <v>2.6849999999999996</v>
      </c>
      <c r="M501" s="7">
        <f t="shared" si="21"/>
        <v>8.0549999999999997</v>
      </c>
      <c r="N501" t="str">
        <f t="shared" si="22"/>
        <v>Robusta</v>
      </c>
      <c r="O501" t="str">
        <f t="shared" si="23"/>
        <v>Dark</v>
      </c>
      <c r="P501" t="str">
        <f>_xlfn.XLOOKUP(Table1[[#This Row],[Customer ID]],customers!$A$1:$A$1001,customers!$I$1:$I$1001,,0)</f>
        <v>Yes</v>
      </c>
    </row>
    <row r="502" spans="1:16" x14ac:dyDescent="0.2">
      <c r="A502" s="2" t="s">
        <v>3318</v>
      </c>
      <c r="B502" s="3">
        <v>44025</v>
      </c>
      <c r="C502" s="2" t="s">
        <v>3319</v>
      </c>
      <c r="D502" t="s">
        <v>6179</v>
      </c>
      <c r="E502" s="2">
        <v>4</v>
      </c>
      <c r="F502" s="2" t="str">
        <f>_xlfn.XLOOKUP(C502,customers!$A501:$A1501,customers!$B501:$B1501,,0)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5">
        <f>INDEX(products!$A$1:$G$49,MATCH(orders!$D502,products!$A$1:$A$49,0),MATCH(orders!K$1,products!$A$1:$G$1,0))</f>
        <v>1</v>
      </c>
      <c r="L502" s="7">
        <f>INDEX(products!$A$1:$G$49,MATCH(orders!$D502,products!$A$1:$A$49,0),MATCH(orders!L$1,products!$A$1:$G$1,0))</f>
        <v>11.95</v>
      </c>
      <c r="M502" s="7">
        <f t="shared" si="21"/>
        <v>47.8</v>
      </c>
      <c r="N502" t="str">
        <f t="shared" si="22"/>
        <v>Robusta</v>
      </c>
      <c r="O502" t="str">
        <f t="shared" si="23"/>
        <v>Light</v>
      </c>
      <c r="P502" t="str">
        <f>_xlfn.XLOOKUP(Table1[[#This Row],[Customer ID]],customers!$A$1:$A$1001,customers!$I$1:$I$1001,,0)</f>
        <v>No</v>
      </c>
    </row>
    <row r="503" spans="1:16" x14ac:dyDescent="0.2">
      <c r="A503" s="2" t="s">
        <v>3323</v>
      </c>
      <c r="B503" s="3">
        <v>43467</v>
      </c>
      <c r="C503" s="2" t="s">
        <v>3324</v>
      </c>
      <c r="D503" t="s">
        <v>6174</v>
      </c>
      <c r="E503" s="2">
        <v>4</v>
      </c>
      <c r="F503" s="2" t="str">
        <f>_xlfn.XLOOKUP(C503,customers!$A502:$A1502,customers!$B502:$B1502,,0)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5">
        <f>INDEX(products!$A$1:$G$49,MATCH(orders!$D503,products!$A$1:$A$49,0),MATCH(orders!K$1,products!$A$1:$G$1,0))</f>
        <v>0.2</v>
      </c>
      <c r="L503" s="7">
        <f>INDEX(products!$A$1:$G$49,MATCH(orders!$D503,products!$A$1:$A$49,0),MATCH(orders!L$1,products!$A$1:$G$1,0))</f>
        <v>2.9849999999999999</v>
      </c>
      <c r="M503" s="7">
        <f t="shared" si="21"/>
        <v>11.94</v>
      </c>
      <c r="N503" t="str">
        <f t="shared" si="22"/>
        <v>Robusta</v>
      </c>
      <c r="O503" t="str">
        <f t="shared" si="23"/>
        <v>Medium</v>
      </c>
      <c r="P503" t="str">
        <f>_xlfn.XLOOKUP(Table1[[#This Row],[Customer ID]],customers!$A$1:$A$1001,customers!$I$1:$I$1001,,0)</f>
        <v>No</v>
      </c>
    </row>
    <row r="504" spans="1:16" x14ac:dyDescent="0.2">
      <c r="A504" s="2" t="s">
        <v>3323</v>
      </c>
      <c r="B504" s="3">
        <v>43467</v>
      </c>
      <c r="C504" s="2" t="s">
        <v>3324</v>
      </c>
      <c r="D504" t="s">
        <v>6156</v>
      </c>
      <c r="E504" s="2">
        <v>4</v>
      </c>
      <c r="F504" s="2" t="str">
        <f>_xlfn.XLOOKUP(C504,customers!$A503:$A1503,customers!$B503:$B1503,,0)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5">
        <f>INDEX(products!$A$1:$G$49,MATCH(orders!$D504,products!$A$1:$A$49,0),MATCH(orders!K$1,products!$A$1:$G$1,0))</f>
        <v>0.2</v>
      </c>
      <c r="L504" s="7">
        <f>INDEX(products!$A$1:$G$49,MATCH(orders!$D504,products!$A$1:$A$49,0),MATCH(orders!L$1,products!$A$1:$G$1,0))</f>
        <v>4.125</v>
      </c>
      <c r="M504" s="7">
        <f t="shared" si="21"/>
        <v>16.5</v>
      </c>
      <c r="N504" t="str">
        <f t="shared" si="22"/>
        <v>Excelsa</v>
      </c>
      <c r="O504" t="str">
        <f t="shared" si="23"/>
        <v>Medium</v>
      </c>
      <c r="P504" t="str">
        <f>_xlfn.XLOOKUP(Table1[[#This Row],[Customer ID]],customers!$A$1:$A$1001,customers!$I$1:$I$1001,,0)</f>
        <v>No</v>
      </c>
    </row>
    <row r="505" spans="1:16" x14ac:dyDescent="0.2">
      <c r="A505" s="2" t="s">
        <v>3323</v>
      </c>
      <c r="B505" s="3">
        <v>43467</v>
      </c>
      <c r="C505" s="2" t="s">
        <v>3324</v>
      </c>
      <c r="D505" t="s">
        <v>6143</v>
      </c>
      <c r="E505" s="2">
        <v>4</v>
      </c>
      <c r="F505" s="2" t="e">
        <f>_xlfn.XLOOKUP(C505,customers!$A504:$A1504,customers!$B504:$B1504,,0)</f>
        <v>#N/A</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5">
        <f>INDEX(products!$A$1:$G$49,MATCH(orders!$D505,products!$A$1:$A$49,0),MATCH(orders!K$1,products!$A$1:$G$1,0))</f>
        <v>1</v>
      </c>
      <c r="L505" s="7">
        <f>INDEX(products!$A$1:$G$49,MATCH(orders!$D505,products!$A$1:$A$49,0),MATCH(orders!L$1,products!$A$1:$G$1,0))</f>
        <v>12.95</v>
      </c>
      <c r="M505" s="7">
        <f t="shared" si="21"/>
        <v>51.8</v>
      </c>
      <c r="N505" t="str">
        <f t="shared" si="22"/>
        <v>Liberica</v>
      </c>
      <c r="O505" t="str">
        <f t="shared" si="23"/>
        <v>Dark</v>
      </c>
      <c r="P505" t="str">
        <f>_xlfn.XLOOKUP(Table1[[#This Row],[Customer ID]],customers!$A$1:$A$1001,customers!$I$1:$I$1001,,0)</f>
        <v>No</v>
      </c>
    </row>
    <row r="506" spans="1:16" x14ac:dyDescent="0.2">
      <c r="A506" s="2" t="s">
        <v>3323</v>
      </c>
      <c r="B506" s="3">
        <v>43467</v>
      </c>
      <c r="C506" s="2" t="s">
        <v>3324</v>
      </c>
      <c r="D506" t="s">
        <v>6145</v>
      </c>
      <c r="E506" s="2">
        <v>3</v>
      </c>
      <c r="F506" s="2" t="e">
        <f>_xlfn.XLOOKUP(C506,customers!$A505:$A1505,customers!$B505:$B1505,,0)</f>
        <v>#N/A</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5">
        <f>INDEX(products!$A$1:$G$49,MATCH(orders!$D506,products!$A$1:$A$49,0),MATCH(orders!K$1,products!$A$1:$G$1,0))</f>
        <v>0.2</v>
      </c>
      <c r="L506" s="7">
        <f>INDEX(products!$A$1:$G$49,MATCH(orders!$D506,products!$A$1:$A$49,0),MATCH(orders!L$1,products!$A$1:$G$1,0))</f>
        <v>4.7549999999999999</v>
      </c>
      <c r="M506" s="7">
        <f t="shared" si="21"/>
        <v>14.265000000000001</v>
      </c>
      <c r="N506" t="str">
        <f t="shared" si="22"/>
        <v>Liberica</v>
      </c>
      <c r="O506" t="str">
        <f t="shared" si="23"/>
        <v>Light</v>
      </c>
      <c r="P506" t="str">
        <f>_xlfn.XLOOKUP(Table1[[#This Row],[Customer ID]],customers!$A$1:$A$1001,customers!$I$1:$I$1001,,0)</f>
        <v>No</v>
      </c>
    </row>
    <row r="507" spans="1:16" x14ac:dyDescent="0.2">
      <c r="A507" s="2" t="s">
        <v>3343</v>
      </c>
      <c r="B507" s="3">
        <v>44609</v>
      </c>
      <c r="C507" s="2" t="s">
        <v>3344</v>
      </c>
      <c r="D507" t="s">
        <v>6159</v>
      </c>
      <c r="E507" s="2">
        <v>6</v>
      </c>
      <c r="F507" s="2" t="str">
        <f>_xlfn.XLOOKUP(C507,customers!$A506:$A1506,customers!$B506:$B1506,,0)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5">
        <f>INDEX(products!$A$1:$G$49,MATCH(orders!$D507,products!$A$1:$A$49,0),MATCH(orders!K$1,products!$A$1:$G$1,0))</f>
        <v>0.2</v>
      </c>
      <c r="L507" s="7">
        <f>INDEX(products!$A$1:$G$49,MATCH(orders!$D507,products!$A$1:$A$49,0),MATCH(orders!L$1,products!$A$1:$G$1,0))</f>
        <v>4.3650000000000002</v>
      </c>
      <c r="M507" s="7">
        <f t="shared" si="21"/>
        <v>26.19</v>
      </c>
      <c r="N507" t="str">
        <f t="shared" si="22"/>
        <v>Liberica</v>
      </c>
      <c r="O507" t="str">
        <f t="shared" si="23"/>
        <v>Medium</v>
      </c>
      <c r="P507" t="str">
        <f>_xlfn.XLOOKUP(Table1[[#This Row],[Customer ID]],customers!$A$1:$A$1001,customers!$I$1:$I$1001,,0)</f>
        <v>No</v>
      </c>
    </row>
    <row r="508" spans="1:16" x14ac:dyDescent="0.2">
      <c r="A508" s="2" t="s">
        <v>3349</v>
      </c>
      <c r="B508" s="3">
        <v>44184</v>
      </c>
      <c r="C508" s="2" t="s">
        <v>3350</v>
      </c>
      <c r="D508" t="s">
        <v>6140</v>
      </c>
      <c r="E508" s="2">
        <v>2</v>
      </c>
      <c r="F508" s="2" t="str">
        <f>_xlfn.XLOOKUP(C508,customers!$A507:$A1507,customers!$B507:$B1507,,0)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5">
        <f>INDEX(products!$A$1:$G$49,MATCH(orders!$D508,products!$A$1:$A$49,0),MATCH(orders!K$1,products!$A$1:$G$1,0))</f>
        <v>1</v>
      </c>
      <c r="L508" s="7">
        <f>INDEX(products!$A$1:$G$49,MATCH(orders!$D508,products!$A$1:$A$49,0),MATCH(orders!L$1,products!$A$1:$G$1,0))</f>
        <v>12.95</v>
      </c>
      <c r="M508" s="7">
        <f t="shared" si="21"/>
        <v>25.9</v>
      </c>
      <c r="N508" t="str">
        <f t="shared" si="22"/>
        <v>Arabica</v>
      </c>
      <c r="O508" t="str">
        <f t="shared" si="23"/>
        <v>Light</v>
      </c>
      <c r="P508" t="str">
        <f>_xlfn.XLOOKUP(Table1[[#This Row],[Customer ID]],customers!$A$1:$A$1001,customers!$I$1:$I$1001,,0)</f>
        <v>Yes</v>
      </c>
    </row>
    <row r="509" spans="1:16" x14ac:dyDescent="0.2">
      <c r="A509" s="2" t="s">
        <v>3355</v>
      </c>
      <c r="B509" s="3">
        <v>43516</v>
      </c>
      <c r="C509" s="2" t="s">
        <v>3356</v>
      </c>
      <c r="D509" t="s">
        <v>6182</v>
      </c>
      <c r="E509" s="2">
        <v>3</v>
      </c>
      <c r="F509" s="2" t="str">
        <f>_xlfn.XLOOKUP(C509,customers!$A508:$A1508,customers!$B508:$B1508,,0)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5">
        <f>INDEX(products!$A$1:$G$49,MATCH(orders!$D509,products!$A$1:$A$49,0),MATCH(orders!K$1,products!$A$1:$G$1,0))</f>
        <v>2.5</v>
      </c>
      <c r="L509" s="7">
        <f>INDEX(products!$A$1:$G$49,MATCH(orders!$D509,products!$A$1:$A$49,0),MATCH(orders!L$1,products!$A$1:$G$1,0))</f>
        <v>29.784999999999997</v>
      </c>
      <c r="M509" s="7">
        <f t="shared" si="21"/>
        <v>89.35499999999999</v>
      </c>
      <c r="N509" t="str">
        <f t="shared" si="22"/>
        <v>Arabica</v>
      </c>
      <c r="O509" t="str">
        <f t="shared" si="23"/>
        <v>Light</v>
      </c>
      <c r="P509" t="str">
        <f>_xlfn.XLOOKUP(Table1[[#This Row],[Customer ID]],customers!$A$1:$A$1001,customers!$I$1:$I$1001,,0)</f>
        <v>Yes</v>
      </c>
    </row>
    <row r="510" spans="1:16" x14ac:dyDescent="0.2">
      <c r="A510" s="2" t="s">
        <v>3361</v>
      </c>
      <c r="B510" s="3">
        <v>44210</v>
      </c>
      <c r="C510" s="2" t="s">
        <v>3362</v>
      </c>
      <c r="D510" t="s">
        <v>6169</v>
      </c>
      <c r="E510" s="2">
        <v>6</v>
      </c>
      <c r="F510" s="2" t="str">
        <f>_xlfn.XLOOKUP(C510,customers!$A509:$A1509,customers!$B509:$B1509,,0)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5">
        <f>INDEX(products!$A$1:$G$49,MATCH(orders!$D510,products!$A$1:$A$49,0),MATCH(orders!K$1,products!$A$1:$G$1,0))</f>
        <v>0.5</v>
      </c>
      <c r="L510" s="7">
        <f>INDEX(products!$A$1:$G$49,MATCH(orders!$D510,products!$A$1:$A$49,0),MATCH(orders!L$1,products!$A$1:$G$1,0))</f>
        <v>7.77</v>
      </c>
      <c r="M510" s="7">
        <f t="shared" si="21"/>
        <v>46.62</v>
      </c>
      <c r="N510" t="str">
        <f t="shared" si="22"/>
        <v>Liberica</v>
      </c>
      <c r="O510" t="str">
        <f t="shared" si="23"/>
        <v>Dark</v>
      </c>
      <c r="P510" t="str">
        <f>_xlfn.XLOOKUP(Table1[[#This Row],[Customer ID]],customers!$A$1:$A$1001,customers!$I$1:$I$1001,,0)</f>
        <v>No</v>
      </c>
    </row>
    <row r="511" spans="1:16" x14ac:dyDescent="0.2">
      <c r="A511" s="2" t="s">
        <v>3367</v>
      </c>
      <c r="B511" s="3">
        <v>43785</v>
      </c>
      <c r="C511" s="2" t="s">
        <v>3368</v>
      </c>
      <c r="D511" t="s">
        <v>6147</v>
      </c>
      <c r="E511" s="2">
        <v>3</v>
      </c>
      <c r="F511" s="2" t="str">
        <f>_xlfn.XLOOKUP(C511,customers!$A510:$A1510,customers!$B510:$B1510,,0)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5">
        <f>INDEX(products!$A$1:$G$49,MATCH(orders!$D511,products!$A$1:$A$49,0),MATCH(orders!K$1,products!$A$1:$G$1,0))</f>
        <v>1</v>
      </c>
      <c r="L511" s="7">
        <f>INDEX(products!$A$1:$G$49,MATCH(orders!$D511,products!$A$1:$A$49,0),MATCH(orders!L$1,products!$A$1:$G$1,0))</f>
        <v>9.9499999999999993</v>
      </c>
      <c r="M511" s="7">
        <f t="shared" si="21"/>
        <v>29.849999999999998</v>
      </c>
      <c r="N511" t="str">
        <f t="shared" si="22"/>
        <v>Arabica</v>
      </c>
      <c r="O511" t="str">
        <f t="shared" si="23"/>
        <v>Dark</v>
      </c>
      <c r="P511" t="str">
        <f>_xlfn.XLOOKUP(Table1[[#This Row],[Customer ID]],customers!$A$1:$A$1001,customers!$I$1:$I$1001,,0)</f>
        <v>Yes</v>
      </c>
    </row>
    <row r="512" spans="1:16" x14ac:dyDescent="0.2">
      <c r="A512" s="2" t="s">
        <v>3373</v>
      </c>
      <c r="B512" s="3">
        <v>43803</v>
      </c>
      <c r="C512" s="2" t="s">
        <v>3374</v>
      </c>
      <c r="D512" t="s">
        <v>6178</v>
      </c>
      <c r="E512" s="2">
        <v>3</v>
      </c>
      <c r="F512" s="2" t="str">
        <f>_xlfn.XLOOKUP(C512,customers!$A511:$A1511,customers!$B511:$B1511,,0)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5">
        <f>INDEX(products!$A$1:$G$49,MATCH(orders!$D512,products!$A$1:$A$49,0),MATCH(orders!K$1,products!$A$1:$G$1,0))</f>
        <v>0.2</v>
      </c>
      <c r="L512" s="7">
        <f>INDEX(products!$A$1:$G$49,MATCH(orders!$D512,products!$A$1:$A$49,0),MATCH(orders!L$1,products!$A$1:$G$1,0))</f>
        <v>3.5849999999999995</v>
      </c>
      <c r="M512" s="7">
        <f t="shared" si="21"/>
        <v>10.754999999999999</v>
      </c>
      <c r="N512" t="str">
        <f t="shared" si="22"/>
        <v>Robusta</v>
      </c>
      <c r="O512" t="str">
        <f t="shared" si="23"/>
        <v>Light</v>
      </c>
      <c r="P512" t="str">
        <f>_xlfn.XLOOKUP(Table1[[#This Row],[Customer ID]],customers!$A$1:$A$1001,customers!$I$1:$I$1001,,0)</f>
        <v>Yes</v>
      </c>
    </row>
    <row r="513" spans="1:16" x14ac:dyDescent="0.2">
      <c r="A513" s="2" t="s">
        <v>3379</v>
      </c>
      <c r="B513" s="3">
        <v>44043</v>
      </c>
      <c r="C513" s="2" t="s">
        <v>3380</v>
      </c>
      <c r="D513" t="s">
        <v>6152</v>
      </c>
      <c r="E513" s="2">
        <v>4</v>
      </c>
      <c r="F513" s="2" t="str">
        <f>_xlfn.XLOOKUP(C513,customers!$A512:$A1512,customers!$B512:$B1512,,0)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5">
        <f>INDEX(products!$A$1:$G$49,MATCH(orders!$D513,products!$A$1:$A$49,0),MATCH(orders!K$1,products!$A$1:$G$1,0))</f>
        <v>0.2</v>
      </c>
      <c r="L513" s="7">
        <f>INDEX(products!$A$1:$G$49,MATCH(orders!$D513,products!$A$1:$A$49,0),MATCH(orders!L$1,products!$A$1:$G$1,0))</f>
        <v>3.375</v>
      </c>
      <c r="M513" s="7">
        <f t="shared" si="21"/>
        <v>13.5</v>
      </c>
      <c r="N513" t="str">
        <f t="shared" si="22"/>
        <v>Arabica</v>
      </c>
      <c r="O513" t="str">
        <f t="shared" si="23"/>
        <v>Medium</v>
      </c>
      <c r="P513" t="str">
        <f>_xlfn.XLOOKUP(Table1[[#This Row],[Customer ID]],customers!$A$1:$A$1001,customers!$I$1:$I$1001,,0)</f>
        <v>Yes</v>
      </c>
    </row>
    <row r="514" spans="1:16" x14ac:dyDescent="0.2">
      <c r="A514" s="2" t="s">
        <v>3385</v>
      </c>
      <c r="B514" s="3">
        <v>43535</v>
      </c>
      <c r="C514" s="2" t="s">
        <v>3386</v>
      </c>
      <c r="D514" t="s">
        <v>6170</v>
      </c>
      <c r="E514" s="2">
        <v>3</v>
      </c>
      <c r="F514" s="2" t="str">
        <f>_xlfn.XLOOKUP(C514,customers!$A513:$A1513,customers!$B513:$B1513,,0)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5">
        <f>INDEX(products!$A$1:$G$49,MATCH(orders!$D514,products!$A$1:$A$49,0),MATCH(orders!K$1,products!$A$1:$G$1,0))</f>
        <v>1</v>
      </c>
      <c r="L514" s="7">
        <f>INDEX(products!$A$1:$G$49,MATCH(orders!$D514,products!$A$1:$A$49,0),MATCH(orders!L$1,products!$A$1:$G$1,0))</f>
        <v>15.85</v>
      </c>
      <c r="M514" s="7">
        <f t="shared" si="21"/>
        <v>47.55</v>
      </c>
      <c r="N514" t="str">
        <f t="shared" si="22"/>
        <v>Liberica</v>
      </c>
      <c r="O514" t="str">
        <f t="shared" si="23"/>
        <v>Light</v>
      </c>
      <c r="P514" t="str">
        <f>_xlfn.XLOOKUP(Table1[[#This Row],[Customer ID]],customers!$A$1:$A$1001,customers!$I$1:$I$1001,,0)</f>
        <v>No</v>
      </c>
    </row>
    <row r="515" spans="1:16" x14ac:dyDescent="0.2">
      <c r="A515" s="2" t="s">
        <v>3391</v>
      </c>
      <c r="B515" s="3">
        <v>44691</v>
      </c>
      <c r="C515" s="2" t="s">
        <v>3392</v>
      </c>
      <c r="D515" t="s">
        <v>6170</v>
      </c>
      <c r="E515" s="2">
        <v>5</v>
      </c>
      <c r="F515" s="2" t="str">
        <f>_xlfn.XLOOKUP(C515,customers!$A514:$A1514,customers!$B514:$B1514,,0)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5">
        <f>INDEX(products!$A$1:$G$49,MATCH(orders!$D515,products!$A$1:$A$49,0),MATCH(orders!K$1,products!$A$1:$G$1,0))</f>
        <v>1</v>
      </c>
      <c r="L515" s="7">
        <f>INDEX(products!$A$1:$G$49,MATCH(orders!$D515,products!$A$1:$A$49,0),MATCH(orders!L$1,products!$A$1:$G$1,0))</f>
        <v>15.85</v>
      </c>
      <c r="M515" s="7">
        <f t="shared" ref="M515:M578" si="24">L515*E515</f>
        <v>79.25</v>
      </c>
      <c r="N515" t="str">
        <f t="shared" ref="N515:N578" si="25">IF(I515="Rob","Robusta",IF(I515="Ara","Arabica",IF(I515="Exc","Excelsa",IF(I515="Lib","Liberica",""))))</f>
        <v>Liberica</v>
      </c>
      <c r="O515" t="str">
        <f t="shared" ref="O515:O578" si="26">IF(J515="M","Medium",IF(J515="L","Light",IF(J515="D","Dark","")))</f>
        <v>Light</v>
      </c>
      <c r="P515" t="str">
        <f>_xlfn.XLOOKUP(Table1[[#This Row],[Customer ID]],customers!$A$1:$A$1001,customers!$I$1:$I$1001,,0)</f>
        <v>No</v>
      </c>
    </row>
    <row r="516" spans="1:16" x14ac:dyDescent="0.2">
      <c r="A516" s="2" t="s">
        <v>3396</v>
      </c>
      <c r="B516" s="3">
        <v>44555</v>
      </c>
      <c r="C516" s="2" t="s">
        <v>3397</v>
      </c>
      <c r="D516" t="s">
        <v>6159</v>
      </c>
      <c r="E516" s="2">
        <v>6</v>
      </c>
      <c r="F516" s="2" t="str">
        <f>_xlfn.XLOOKUP(C516,customers!$A515:$A1515,customers!$B515:$B1515,,0)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5">
        <f>INDEX(products!$A$1:$G$49,MATCH(orders!$D516,products!$A$1:$A$49,0),MATCH(orders!K$1,products!$A$1:$G$1,0))</f>
        <v>0.2</v>
      </c>
      <c r="L516" s="7">
        <f>INDEX(products!$A$1:$G$49,MATCH(orders!$D516,products!$A$1:$A$49,0),MATCH(orders!L$1,products!$A$1:$G$1,0))</f>
        <v>4.3650000000000002</v>
      </c>
      <c r="M516" s="7">
        <f t="shared" si="24"/>
        <v>26.19</v>
      </c>
      <c r="N516" t="str">
        <f t="shared" si="25"/>
        <v>Liberica</v>
      </c>
      <c r="O516" t="str">
        <f t="shared" si="26"/>
        <v>Medium</v>
      </c>
      <c r="P516" t="str">
        <f>_xlfn.XLOOKUP(Table1[[#This Row],[Customer ID]],customers!$A$1:$A$1001,customers!$I$1:$I$1001,,0)</f>
        <v>Yes</v>
      </c>
    </row>
    <row r="517" spans="1:16" x14ac:dyDescent="0.2">
      <c r="A517" s="2" t="s">
        <v>3402</v>
      </c>
      <c r="B517" s="3">
        <v>44673</v>
      </c>
      <c r="C517" s="2" t="s">
        <v>3403</v>
      </c>
      <c r="D517" t="s">
        <v>6173</v>
      </c>
      <c r="E517" s="2">
        <v>3</v>
      </c>
      <c r="F517" s="2" t="str">
        <f>_xlfn.XLOOKUP(C517,customers!$A516:$A1516,customers!$B516:$B1516,,0)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5">
        <f>INDEX(products!$A$1:$G$49,MATCH(orders!$D517,products!$A$1:$A$49,0),MATCH(orders!K$1,products!$A$1:$G$1,0))</f>
        <v>0.5</v>
      </c>
      <c r="L517" s="7">
        <f>INDEX(products!$A$1:$G$49,MATCH(orders!$D517,products!$A$1:$A$49,0),MATCH(orders!L$1,products!$A$1:$G$1,0))</f>
        <v>7.169999999999999</v>
      </c>
      <c r="M517" s="7">
        <f t="shared" si="24"/>
        <v>21.509999999999998</v>
      </c>
      <c r="N517" t="str">
        <f t="shared" si="25"/>
        <v>Robusta</v>
      </c>
      <c r="O517" t="str">
        <f t="shared" si="26"/>
        <v>Light</v>
      </c>
      <c r="P517" t="str">
        <f>_xlfn.XLOOKUP(Table1[[#This Row],[Customer ID]],customers!$A$1:$A$1001,customers!$I$1:$I$1001,,0)</f>
        <v>No</v>
      </c>
    </row>
    <row r="518" spans="1:16" x14ac:dyDescent="0.2">
      <c r="A518" s="2" t="s">
        <v>3408</v>
      </c>
      <c r="B518" s="3">
        <v>44723</v>
      </c>
      <c r="C518" s="2" t="s">
        <v>3409</v>
      </c>
      <c r="D518" t="s">
        <v>6149</v>
      </c>
      <c r="E518" s="2">
        <v>5</v>
      </c>
      <c r="F518" s="2" t="str">
        <f>_xlfn.XLOOKUP(C518,customers!$A517:$A1517,customers!$B517:$B1517,,0)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5">
        <f>INDEX(products!$A$1:$G$49,MATCH(orders!$D518,products!$A$1:$A$49,0),MATCH(orders!K$1,products!$A$1:$G$1,0))</f>
        <v>2.5</v>
      </c>
      <c r="L518" s="7">
        <f>INDEX(products!$A$1:$G$49,MATCH(orders!$D518,products!$A$1:$A$49,0),MATCH(orders!L$1,products!$A$1:$G$1,0))</f>
        <v>20.584999999999997</v>
      </c>
      <c r="M518" s="7">
        <f t="shared" si="24"/>
        <v>102.92499999999998</v>
      </c>
      <c r="N518" t="str">
        <f t="shared" si="25"/>
        <v>Robusta</v>
      </c>
      <c r="O518" t="str">
        <f t="shared" si="26"/>
        <v>Dark</v>
      </c>
      <c r="P518" t="str">
        <f>_xlfn.XLOOKUP(Table1[[#This Row],[Customer ID]],customers!$A$1:$A$1001,customers!$I$1:$I$1001,,0)</f>
        <v>Yes</v>
      </c>
    </row>
    <row r="519" spans="1:16" x14ac:dyDescent="0.2">
      <c r="A519" s="2" t="s">
        <v>3413</v>
      </c>
      <c r="B519" s="3">
        <v>44678</v>
      </c>
      <c r="C519" s="2" t="s">
        <v>3414</v>
      </c>
      <c r="D519" t="s">
        <v>6150</v>
      </c>
      <c r="E519" s="2">
        <v>2</v>
      </c>
      <c r="F519" s="2" t="str">
        <f>_xlfn.XLOOKUP(C519,customers!$A518:$A1518,customers!$B518:$B1518,,0)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5">
        <f>INDEX(products!$A$1:$G$49,MATCH(orders!$D519,products!$A$1:$A$49,0),MATCH(orders!K$1,products!$A$1:$G$1,0))</f>
        <v>0.2</v>
      </c>
      <c r="L519" s="7">
        <f>INDEX(products!$A$1:$G$49,MATCH(orders!$D519,products!$A$1:$A$49,0),MATCH(orders!L$1,products!$A$1:$G$1,0))</f>
        <v>3.8849999999999998</v>
      </c>
      <c r="M519" s="7">
        <f t="shared" si="24"/>
        <v>7.77</v>
      </c>
      <c r="N519" t="str">
        <f t="shared" si="25"/>
        <v>Liberica</v>
      </c>
      <c r="O519" t="str">
        <f t="shared" si="26"/>
        <v>Dark</v>
      </c>
      <c r="P519" t="str">
        <f>_xlfn.XLOOKUP(Table1[[#This Row],[Customer ID]],customers!$A$1:$A$1001,customers!$I$1:$I$1001,,0)</f>
        <v>No</v>
      </c>
    </row>
    <row r="520" spans="1:16" x14ac:dyDescent="0.2">
      <c r="A520" s="2" t="s">
        <v>3418</v>
      </c>
      <c r="B520" s="3">
        <v>44194</v>
      </c>
      <c r="C520" s="2" t="s">
        <v>3419</v>
      </c>
      <c r="D520" t="s">
        <v>6185</v>
      </c>
      <c r="E520" s="2">
        <v>5</v>
      </c>
      <c r="F520" s="2" t="str">
        <f>_xlfn.XLOOKUP(C520,customers!$A519:$A1519,customers!$B519:$B1519,,0)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5">
        <f>INDEX(products!$A$1:$G$49,MATCH(orders!$D520,products!$A$1:$A$49,0),MATCH(orders!K$1,products!$A$1:$G$1,0))</f>
        <v>2.5</v>
      </c>
      <c r="L520" s="7">
        <f>INDEX(products!$A$1:$G$49,MATCH(orders!$D520,products!$A$1:$A$49,0),MATCH(orders!L$1,products!$A$1:$G$1,0))</f>
        <v>27.945</v>
      </c>
      <c r="M520" s="7">
        <f t="shared" si="24"/>
        <v>139.72499999999999</v>
      </c>
      <c r="N520" t="str">
        <f t="shared" si="25"/>
        <v>Excelsa</v>
      </c>
      <c r="O520" t="str">
        <f t="shared" si="26"/>
        <v>Dark</v>
      </c>
      <c r="P520" t="str">
        <f>_xlfn.XLOOKUP(Table1[[#This Row],[Customer ID]],customers!$A$1:$A$1001,customers!$I$1:$I$1001,,0)</f>
        <v>No</v>
      </c>
    </row>
    <row r="521" spans="1:16" x14ac:dyDescent="0.2">
      <c r="A521" s="2" t="s">
        <v>3424</v>
      </c>
      <c r="B521" s="3">
        <v>44026</v>
      </c>
      <c r="C521" s="2" t="s">
        <v>3368</v>
      </c>
      <c r="D521" t="s">
        <v>6158</v>
      </c>
      <c r="E521" s="2">
        <v>2</v>
      </c>
      <c r="F521" s="2" t="e">
        <f>_xlfn.XLOOKUP(C521,customers!$A520:$A1520,customers!$B520:$B1520,,0)</f>
        <v>#N/A</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5">
        <f>INDEX(products!$A$1:$G$49,MATCH(orders!$D521,products!$A$1:$A$49,0),MATCH(orders!K$1,products!$A$1:$G$1,0))</f>
        <v>0.5</v>
      </c>
      <c r="L521" s="7">
        <f>INDEX(products!$A$1:$G$49,MATCH(orders!$D521,products!$A$1:$A$49,0),MATCH(orders!L$1,products!$A$1:$G$1,0))</f>
        <v>5.97</v>
      </c>
      <c r="M521" s="7">
        <f t="shared" si="24"/>
        <v>11.94</v>
      </c>
      <c r="N521" t="str">
        <f t="shared" si="25"/>
        <v>Arabica</v>
      </c>
      <c r="O521" t="str">
        <f t="shared" si="26"/>
        <v>Dark</v>
      </c>
      <c r="P521" t="str">
        <f>_xlfn.XLOOKUP(Table1[[#This Row],[Customer ID]],customers!$A$1:$A$1001,customers!$I$1:$I$1001,,0)</f>
        <v>Yes</v>
      </c>
    </row>
    <row r="522" spans="1:16" x14ac:dyDescent="0.2">
      <c r="A522" s="2" t="s">
        <v>3430</v>
      </c>
      <c r="B522" s="3">
        <v>44446</v>
      </c>
      <c r="C522" s="2" t="s">
        <v>3431</v>
      </c>
      <c r="D522" t="s">
        <v>6150</v>
      </c>
      <c r="E522" s="2">
        <v>1</v>
      </c>
      <c r="F522" s="2" t="str">
        <f>_xlfn.XLOOKUP(C522,customers!$A521:$A1521,customers!$B521:$B1521,,0)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5">
        <f>INDEX(products!$A$1:$G$49,MATCH(orders!$D522,products!$A$1:$A$49,0),MATCH(orders!K$1,products!$A$1:$G$1,0))</f>
        <v>0.2</v>
      </c>
      <c r="L522" s="7">
        <f>INDEX(products!$A$1:$G$49,MATCH(orders!$D522,products!$A$1:$A$49,0),MATCH(orders!L$1,products!$A$1:$G$1,0))</f>
        <v>3.8849999999999998</v>
      </c>
      <c r="M522" s="7">
        <f t="shared" si="24"/>
        <v>3.8849999999999998</v>
      </c>
      <c r="N522" t="str">
        <f t="shared" si="25"/>
        <v>Liberica</v>
      </c>
      <c r="O522" t="str">
        <f t="shared" si="26"/>
        <v>Dark</v>
      </c>
      <c r="P522" t="str">
        <f>_xlfn.XLOOKUP(Table1[[#This Row],[Customer ID]],customers!$A$1:$A$1001,customers!$I$1:$I$1001,,0)</f>
        <v>No</v>
      </c>
    </row>
    <row r="523" spans="1:16" x14ac:dyDescent="0.2">
      <c r="A523" s="2" t="s">
        <v>3430</v>
      </c>
      <c r="B523" s="3">
        <v>44446</v>
      </c>
      <c r="C523" s="2" t="s">
        <v>3431</v>
      </c>
      <c r="D523" t="s">
        <v>6138</v>
      </c>
      <c r="E523" s="2">
        <v>4</v>
      </c>
      <c r="F523" s="2" t="str">
        <f>_xlfn.XLOOKUP(C523,customers!$A522:$A1522,customers!$B522:$B1522,,0)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5">
        <f>INDEX(products!$A$1:$G$49,MATCH(orders!$D523,products!$A$1:$A$49,0),MATCH(orders!K$1,products!$A$1:$G$1,0))</f>
        <v>1</v>
      </c>
      <c r="L523" s="7">
        <f>INDEX(products!$A$1:$G$49,MATCH(orders!$D523,products!$A$1:$A$49,0),MATCH(orders!L$1,products!$A$1:$G$1,0))</f>
        <v>9.9499999999999993</v>
      </c>
      <c r="M523" s="7">
        <f t="shared" si="24"/>
        <v>39.799999999999997</v>
      </c>
      <c r="N523" t="str">
        <f t="shared" si="25"/>
        <v>Robusta</v>
      </c>
      <c r="O523" t="str">
        <f t="shared" si="26"/>
        <v>Medium</v>
      </c>
      <c r="P523" t="str">
        <f>_xlfn.XLOOKUP(Table1[[#This Row],[Customer ID]],customers!$A$1:$A$1001,customers!$I$1:$I$1001,,0)</f>
        <v>No</v>
      </c>
    </row>
    <row r="524" spans="1:16" x14ac:dyDescent="0.2">
      <c r="A524" s="2" t="s">
        <v>3441</v>
      </c>
      <c r="B524" s="3">
        <v>43625</v>
      </c>
      <c r="C524" s="2" t="s">
        <v>3442</v>
      </c>
      <c r="D524" t="s">
        <v>6146</v>
      </c>
      <c r="E524" s="2">
        <v>5</v>
      </c>
      <c r="F524" s="2" t="str">
        <f>_xlfn.XLOOKUP(C524,customers!$A523:$A1523,customers!$B523:$B1523,,0)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5">
        <f>INDEX(products!$A$1:$G$49,MATCH(orders!$D524,products!$A$1:$A$49,0),MATCH(orders!K$1,products!$A$1:$G$1,0))</f>
        <v>0.5</v>
      </c>
      <c r="L524" s="7">
        <f>INDEX(products!$A$1:$G$49,MATCH(orders!$D524,products!$A$1:$A$49,0),MATCH(orders!L$1,products!$A$1:$G$1,0))</f>
        <v>5.97</v>
      </c>
      <c r="M524" s="7">
        <f t="shared" si="24"/>
        <v>29.849999999999998</v>
      </c>
      <c r="N524" t="str">
        <f t="shared" si="25"/>
        <v>Robusta</v>
      </c>
      <c r="O524" t="str">
        <f t="shared" si="26"/>
        <v>Medium</v>
      </c>
      <c r="P524" t="str">
        <f>_xlfn.XLOOKUP(Table1[[#This Row],[Customer ID]],customers!$A$1:$A$1001,customers!$I$1:$I$1001,,0)</f>
        <v>No</v>
      </c>
    </row>
    <row r="525" spans="1:16" x14ac:dyDescent="0.2">
      <c r="A525" s="2" t="s">
        <v>3447</v>
      </c>
      <c r="B525" s="3">
        <v>44129</v>
      </c>
      <c r="C525" s="2" t="s">
        <v>3448</v>
      </c>
      <c r="D525" t="s">
        <v>6165</v>
      </c>
      <c r="E525" s="2">
        <v>1</v>
      </c>
      <c r="F525" s="2" t="str">
        <f>_xlfn.XLOOKUP(C525,customers!$A524:$A1524,customers!$B524:$B1524,,0)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5">
        <f>INDEX(products!$A$1:$G$49,MATCH(orders!$D525,products!$A$1:$A$49,0),MATCH(orders!K$1,products!$A$1:$G$1,0))</f>
        <v>2.5</v>
      </c>
      <c r="L525" s="7">
        <f>INDEX(products!$A$1:$G$49,MATCH(orders!$D525,products!$A$1:$A$49,0),MATCH(orders!L$1,products!$A$1:$G$1,0))</f>
        <v>29.784999999999997</v>
      </c>
      <c r="M525" s="7">
        <f t="shared" si="24"/>
        <v>29.784999999999997</v>
      </c>
      <c r="N525" t="str">
        <f t="shared" si="25"/>
        <v>Liberica</v>
      </c>
      <c r="O525" t="str">
        <f t="shared" si="26"/>
        <v>Dark</v>
      </c>
      <c r="P525" t="str">
        <f>_xlfn.XLOOKUP(Table1[[#This Row],[Customer ID]],customers!$A$1:$A$1001,customers!$I$1:$I$1001,,0)</f>
        <v>No</v>
      </c>
    </row>
    <row r="526" spans="1:16" x14ac:dyDescent="0.2">
      <c r="A526" s="2" t="s">
        <v>3453</v>
      </c>
      <c r="B526" s="3">
        <v>44255</v>
      </c>
      <c r="C526" s="2" t="s">
        <v>3454</v>
      </c>
      <c r="D526" t="s">
        <v>6164</v>
      </c>
      <c r="E526" s="2">
        <v>2</v>
      </c>
      <c r="F526" s="2" t="str">
        <f>_xlfn.XLOOKUP(C526,customers!$A525:$A1525,customers!$B525:$B1525,,0)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5">
        <f>INDEX(products!$A$1:$G$49,MATCH(orders!$D526,products!$A$1:$A$49,0),MATCH(orders!K$1,products!$A$1:$G$1,0))</f>
        <v>2.5</v>
      </c>
      <c r="L526" s="7">
        <f>INDEX(products!$A$1:$G$49,MATCH(orders!$D526,products!$A$1:$A$49,0),MATCH(orders!L$1,products!$A$1:$G$1,0))</f>
        <v>36.454999999999998</v>
      </c>
      <c r="M526" s="7">
        <f t="shared" si="24"/>
        <v>72.91</v>
      </c>
      <c r="N526" t="str">
        <f t="shared" si="25"/>
        <v>Liberica</v>
      </c>
      <c r="O526" t="str">
        <f t="shared" si="26"/>
        <v>Light</v>
      </c>
      <c r="P526" t="str">
        <f>_xlfn.XLOOKUP(Table1[[#This Row],[Customer ID]],customers!$A$1:$A$1001,customers!$I$1:$I$1001,,0)</f>
        <v>No</v>
      </c>
    </row>
    <row r="527" spans="1:16" x14ac:dyDescent="0.2">
      <c r="A527" s="2" t="s">
        <v>3458</v>
      </c>
      <c r="B527" s="3">
        <v>44038</v>
      </c>
      <c r="C527" s="2" t="s">
        <v>3459</v>
      </c>
      <c r="D527" t="s">
        <v>6163</v>
      </c>
      <c r="E527" s="2">
        <v>5</v>
      </c>
      <c r="F527" s="2" t="str">
        <f>_xlfn.XLOOKUP(C527,customers!$A526:$A1526,customers!$B526:$B1526,,0)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5">
        <f>INDEX(products!$A$1:$G$49,MATCH(orders!$D527,products!$A$1:$A$49,0),MATCH(orders!K$1,products!$A$1:$G$1,0))</f>
        <v>0.2</v>
      </c>
      <c r="L527" s="7">
        <f>INDEX(products!$A$1:$G$49,MATCH(orders!$D527,products!$A$1:$A$49,0),MATCH(orders!L$1,products!$A$1:$G$1,0))</f>
        <v>2.6849999999999996</v>
      </c>
      <c r="M527" s="7">
        <f t="shared" si="24"/>
        <v>13.424999999999997</v>
      </c>
      <c r="N527" t="str">
        <f t="shared" si="25"/>
        <v>Robusta</v>
      </c>
      <c r="O527" t="str">
        <f t="shared" si="26"/>
        <v>Dark</v>
      </c>
      <c r="P527" t="str">
        <f>_xlfn.XLOOKUP(Table1[[#This Row],[Customer ID]],customers!$A$1:$A$1001,customers!$I$1:$I$1001,,0)</f>
        <v>Yes</v>
      </c>
    </row>
    <row r="528" spans="1:16" x14ac:dyDescent="0.2">
      <c r="A528" s="2" t="s">
        <v>3463</v>
      </c>
      <c r="B528" s="3">
        <v>44717</v>
      </c>
      <c r="C528" s="2" t="s">
        <v>3464</v>
      </c>
      <c r="D528" t="s">
        <v>6166</v>
      </c>
      <c r="E528" s="2">
        <v>4</v>
      </c>
      <c r="F528" s="2" t="str">
        <f>_xlfn.XLOOKUP(C528,customers!$A527:$A1527,customers!$B527:$B1527,,0)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5">
        <f>INDEX(products!$A$1:$G$49,MATCH(orders!$D528,products!$A$1:$A$49,0),MATCH(orders!K$1,products!$A$1:$G$1,0))</f>
        <v>2.5</v>
      </c>
      <c r="L528" s="7">
        <f>INDEX(products!$A$1:$G$49,MATCH(orders!$D528,products!$A$1:$A$49,0),MATCH(orders!L$1,products!$A$1:$G$1,0))</f>
        <v>31.624999999999996</v>
      </c>
      <c r="M528" s="7">
        <f t="shared" si="24"/>
        <v>126.49999999999999</v>
      </c>
      <c r="N528" t="str">
        <f t="shared" si="25"/>
        <v>Excelsa</v>
      </c>
      <c r="O528" t="str">
        <f t="shared" si="26"/>
        <v>Medium</v>
      </c>
      <c r="P528" t="str">
        <f>_xlfn.XLOOKUP(Table1[[#This Row],[Customer ID]],customers!$A$1:$A$1001,customers!$I$1:$I$1001,,0)</f>
        <v>Yes</v>
      </c>
    </row>
    <row r="529" spans="1:16" x14ac:dyDescent="0.2">
      <c r="A529" s="2" t="s">
        <v>3469</v>
      </c>
      <c r="B529" s="3">
        <v>43517</v>
      </c>
      <c r="C529" s="2" t="s">
        <v>3470</v>
      </c>
      <c r="D529" t="s">
        <v>6139</v>
      </c>
      <c r="E529" s="2">
        <v>5</v>
      </c>
      <c r="F529" s="2" t="str">
        <f>_xlfn.XLOOKUP(C529,customers!$A528:$A1528,customers!$B528:$B1528,,0)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5">
        <f>INDEX(products!$A$1:$G$49,MATCH(orders!$D529,products!$A$1:$A$49,0),MATCH(orders!K$1,products!$A$1:$G$1,0))</f>
        <v>0.5</v>
      </c>
      <c r="L529" s="7">
        <f>INDEX(products!$A$1:$G$49,MATCH(orders!$D529,products!$A$1:$A$49,0),MATCH(orders!L$1,products!$A$1:$G$1,0))</f>
        <v>8.25</v>
      </c>
      <c r="M529" s="7">
        <f t="shared" si="24"/>
        <v>41.25</v>
      </c>
      <c r="N529" t="str">
        <f t="shared" si="25"/>
        <v>Excelsa</v>
      </c>
      <c r="O529" t="str">
        <f t="shared" si="26"/>
        <v>Medium</v>
      </c>
      <c r="P529" t="str">
        <f>_xlfn.XLOOKUP(Table1[[#This Row],[Customer ID]],customers!$A$1:$A$1001,customers!$I$1:$I$1001,,0)</f>
        <v>No</v>
      </c>
    </row>
    <row r="530" spans="1:16" x14ac:dyDescent="0.2">
      <c r="A530" s="2" t="s">
        <v>3475</v>
      </c>
      <c r="B530" s="3">
        <v>43926</v>
      </c>
      <c r="C530" s="2" t="s">
        <v>3476</v>
      </c>
      <c r="D530" t="s">
        <v>6176</v>
      </c>
      <c r="E530" s="2">
        <v>6</v>
      </c>
      <c r="F530" s="2" t="str">
        <f>_xlfn.XLOOKUP(C530,customers!$A529:$A1529,customers!$B529:$B1529,,0)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5">
        <f>INDEX(products!$A$1:$G$49,MATCH(orders!$D530,products!$A$1:$A$49,0),MATCH(orders!K$1,products!$A$1:$G$1,0))</f>
        <v>0.5</v>
      </c>
      <c r="L530" s="7">
        <f>INDEX(products!$A$1:$G$49,MATCH(orders!$D530,products!$A$1:$A$49,0),MATCH(orders!L$1,products!$A$1:$G$1,0))</f>
        <v>8.91</v>
      </c>
      <c r="M530" s="7">
        <f t="shared" si="24"/>
        <v>53.46</v>
      </c>
      <c r="N530" t="str">
        <f t="shared" si="25"/>
        <v>Excelsa</v>
      </c>
      <c r="O530" t="str">
        <f t="shared" si="26"/>
        <v>Light</v>
      </c>
      <c r="P530" t="str">
        <f>_xlfn.XLOOKUP(Table1[[#This Row],[Customer ID]],customers!$A$1:$A$1001,customers!$I$1:$I$1001,,0)</f>
        <v>No</v>
      </c>
    </row>
    <row r="531" spans="1:16" x14ac:dyDescent="0.2">
      <c r="A531" s="2" t="s">
        <v>3481</v>
      </c>
      <c r="B531" s="3">
        <v>43475</v>
      </c>
      <c r="C531" s="2" t="s">
        <v>3482</v>
      </c>
      <c r="D531" t="s">
        <v>6138</v>
      </c>
      <c r="E531" s="2">
        <v>6</v>
      </c>
      <c r="F531" s="2" t="str">
        <f>_xlfn.XLOOKUP(C531,customers!$A530:$A1530,customers!$B530:$B1530,,0)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5">
        <f>INDEX(products!$A$1:$G$49,MATCH(orders!$D531,products!$A$1:$A$49,0),MATCH(orders!K$1,products!$A$1:$G$1,0))</f>
        <v>1</v>
      </c>
      <c r="L531" s="7">
        <f>INDEX(products!$A$1:$G$49,MATCH(orders!$D531,products!$A$1:$A$49,0),MATCH(orders!L$1,products!$A$1:$G$1,0))</f>
        <v>9.9499999999999993</v>
      </c>
      <c r="M531" s="7">
        <f t="shared" si="24"/>
        <v>59.699999999999996</v>
      </c>
      <c r="N531" t="str">
        <f t="shared" si="25"/>
        <v>Robusta</v>
      </c>
      <c r="O531" t="str">
        <f t="shared" si="26"/>
        <v>Medium</v>
      </c>
      <c r="P531" t="str">
        <f>_xlfn.XLOOKUP(Table1[[#This Row],[Customer ID]],customers!$A$1:$A$1001,customers!$I$1:$I$1001,,0)</f>
        <v>No</v>
      </c>
    </row>
    <row r="532" spans="1:16" x14ac:dyDescent="0.2">
      <c r="A532" s="2" t="s">
        <v>3487</v>
      </c>
      <c r="B532" s="3">
        <v>44663</v>
      </c>
      <c r="C532" s="2" t="s">
        <v>3488</v>
      </c>
      <c r="D532" t="s">
        <v>6138</v>
      </c>
      <c r="E532" s="2">
        <v>6</v>
      </c>
      <c r="F532" s="2" t="str">
        <f>_xlfn.XLOOKUP(C532,customers!$A531:$A1531,customers!$B531:$B1531,,0)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5">
        <f>INDEX(products!$A$1:$G$49,MATCH(orders!$D532,products!$A$1:$A$49,0),MATCH(orders!K$1,products!$A$1:$G$1,0))</f>
        <v>1</v>
      </c>
      <c r="L532" s="7">
        <f>INDEX(products!$A$1:$G$49,MATCH(orders!$D532,products!$A$1:$A$49,0),MATCH(orders!L$1,products!$A$1:$G$1,0))</f>
        <v>9.9499999999999993</v>
      </c>
      <c r="M532" s="7">
        <f t="shared" si="24"/>
        <v>59.699999999999996</v>
      </c>
      <c r="N532" t="str">
        <f t="shared" si="25"/>
        <v>Robusta</v>
      </c>
      <c r="O532" t="str">
        <f t="shared" si="26"/>
        <v>Medium</v>
      </c>
      <c r="P532" t="str">
        <f>_xlfn.XLOOKUP(Table1[[#This Row],[Customer ID]],customers!$A$1:$A$1001,customers!$I$1:$I$1001,,0)</f>
        <v>No</v>
      </c>
    </row>
    <row r="533" spans="1:16" x14ac:dyDescent="0.2">
      <c r="A533" s="2" t="s">
        <v>3493</v>
      </c>
      <c r="B533" s="3">
        <v>44591</v>
      </c>
      <c r="C533" s="2" t="s">
        <v>3494</v>
      </c>
      <c r="D533" t="s">
        <v>6177</v>
      </c>
      <c r="E533" s="2">
        <v>5</v>
      </c>
      <c r="F533" s="2" t="str">
        <f>_xlfn.XLOOKUP(C533,customers!$A532:$A1532,customers!$B532:$B1532,,0)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5">
        <f>INDEX(products!$A$1:$G$49,MATCH(orders!$D533,products!$A$1:$A$49,0),MATCH(orders!K$1,products!$A$1:$G$1,0))</f>
        <v>1</v>
      </c>
      <c r="L533" s="7">
        <f>INDEX(products!$A$1:$G$49,MATCH(orders!$D533,products!$A$1:$A$49,0),MATCH(orders!L$1,products!$A$1:$G$1,0))</f>
        <v>8.9499999999999993</v>
      </c>
      <c r="M533" s="7">
        <f t="shared" si="24"/>
        <v>44.75</v>
      </c>
      <c r="N533" t="str">
        <f t="shared" si="25"/>
        <v>Robusta</v>
      </c>
      <c r="O533" t="str">
        <f t="shared" si="26"/>
        <v>Dark</v>
      </c>
      <c r="P533" t="str">
        <f>_xlfn.XLOOKUP(Table1[[#This Row],[Customer ID]],customers!$A$1:$A$1001,customers!$I$1:$I$1001,,0)</f>
        <v>No</v>
      </c>
    </row>
    <row r="534" spans="1:16" x14ac:dyDescent="0.2">
      <c r="A534" s="2" t="s">
        <v>3499</v>
      </c>
      <c r="B534" s="3">
        <v>44330</v>
      </c>
      <c r="C534" s="2" t="s">
        <v>3500</v>
      </c>
      <c r="D534" t="s">
        <v>6139</v>
      </c>
      <c r="E534" s="2">
        <v>2</v>
      </c>
      <c r="F534" s="2" t="str">
        <f>_xlfn.XLOOKUP(C534,customers!$A533:$A1533,customers!$B533:$B1533,,0)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5">
        <f>INDEX(products!$A$1:$G$49,MATCH(orders!$D534,products!$A$1:$A$49,0),MATCH(orders!K$1,products!$A$1:$G$1,0))</f>
        <v>0.5</v>
      </c>
      <c r="L534" s="7">
        <f>INDEX(products!$A$1:$G$49,MATCH(orders!$D534,products!$A$1:$A$49,0),MATCH(orders!L$1,products!$A$1:$G$1,0))</f>
        <v>8.25</v>
      </c>
      <c r="M534" s="7">
        <f t="shared" si="24"/>
        <v>16.5</v>
      </c>
      <c r="N534" t="str">
        <f t="shared" si="25"/>
        <v>Excelsa</v>
      </c>
      <c r="O534" t="str">
        <f t="shared" si="26"/>
        <v>Medium</v>
      </c>
      <c r="P534" t="str">
        <f>_xlfn.XLOOKUP(Table1[[#This Row],[Customer ID]],customers!$A$1:$A$1001,customers!$I$1:$I$1001,,0)</f>
        <v>Yes</v>
      </c>
    </row>
    <row r="535" spans="1:16" x14ac:dyDescent="0.2">
      <c r="A535" s="2" t="s">
        <v>3505</v>
      </c>
      <c r="B535" s="3">
        <v>44724</v>
      </c>
      <c r="C535" s="2" t="s">
        <v>3506</v>
      </c>
      <c r="D535" t="s">
        <v>6172</v>
      </c>
      <c r="E535" s="2">
        <v>4</v>
      </c>
      <c r="F535" s="2" t="str">
        <f>_xlfn.XLOOKUP(C535,customers!$A534:$A1534,customers!$B534:$B1534,,0)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5">
        <f>INDEX(products!$A$1:$G$49,MATCH(orders!$D535,products!$A$1:$A$49,0),MATCH(orders!K$1,products!$A$1:$G$1,0))</f>
        <v>0.5</v>
      </c>
      <c r="L535" s="7">
        <f>INDEX(products!$A$1:$G$49,MATCH(orders!$D535,products!$A$1:$A$49,0),MATCH(orders!L$1,products!$A$1:$G$1,0))</f>
        <v>5.3699999999999992</v>
      </c>
      <c r="M535" s="7">
        <f t="shared" si="24"/>
        <v>21.479999999999997</v>
      </c>
      <c r="N535" t="str">
        <f t="shared" si="25"/>
        <v>Robusta</v>
      </c>
      <c r="O535" t="str">
        <f t="shared" si="26"/>
        <v>Dark</v>
      </c>
      <c r="P535" t="str">
        <f>_xlfn.XLOOKUP(Table1[[#This Row],[Customer ID]],customers!$A$1:$A$1001,customers!$I$1:$I$1001,,0)</f>
        <v>No</v>
      </c>
    </row>
    <row r="536" spans="1:16" x14ac:dyDescent="0.2">
      <c r="A536" s="2" t="s">
        <v>3510</v>
      </c>
      <c r="B536" s="3">
        <v>44563</v>
      </c>
      <c r="C536" s="2" t="s">
        <v>3511</v>
      </c>
      <c r="D536" t="s">
        <v>6151</v>
      </c>
      <c r="E536" s="2">
        <v>2</v>
      </c>
      <c r="F536" s="2" t="str">
        <f>_xlfn.XLOOKUP(C536,customers!$A535:$A1535,customers!$B535:$B1535,,0)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5">
        <f>INDEX(products!$A$1:$G$49,MATCH(orders!$D536,products!$A$1:$A$49,0),MATCH(orders!K$1,products!$A$1:$G$1,0))</f>
        <v>2.5</v>
      </c>
      <c r="L536" s="7">
        <f>INDEX(products!$A$1:$G$49,MATCH(orders!$D536,products!$A$1:$A$49,0),MATCH(orders!L$1,products!$A$1:$G$1,0))</f>
        <v>22.884999999999998</v>
      </c>
      <c r="M536" s="7">
        <f t="shared" si="24"/>
        <v>45.769999999999996</v>
      </c>
      <c r="N536" t="str">
        <f t="shared" si="25"/>
        <v>Robusta</v>
      </c>
      <c r="O536" t="str">
        <f t="shared" si="26"/>
        <v>Medium</v>
      </c>
      <c r="P536" t="str">
        <f>_xlfn.XLOOKUP(Table1[[#This Row],[Customer ID]],customers!$A$1:$A$1001,customers!$I$1:$I$1001,,0)</f>
        <v>Yes</v>
      </c>
    </row>
    <row r="537" spans="1:16" x14ac:dyDescent="0.2">
      <c r="A537" s="2" t="s">
        <v>3516</v>
      </c>
      <c r="B537" s="3">
        <v>44585</v>
      </c>
      <c r="C537" s="2" t="s">
        <v>3517</v>
      </c>
      <c r="D537" t="s">
        <v>6145</v>
      </c>
      <c r="E537" s="2">
        <v>2</v>
      </c>
      <c r="F537" s="2" t="str">
        <f>_xlfn.XLOOKUP(C537,customers!$A536:$A1536,customers!$B536:$B1536,,0)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5">
        <f>INDEX(products!$A$1:$G$49,MATCH(orders!$D537,products!$A$1:$A$49,0),MATCH(orders!K$1,products!$A$1:$G$1,0))</f>
        <v>0.2</v>
      </c>
      <c r="L537" s="7">
        <f>INDEX(products!$A$1:$G$49,MATCH(orders!$D537,products!$A$1:$A$49,0),MATCH(orders!L$1,products!$A$1:$G$1,0))</f>
        <v>4.7549999999999999</v>
      </c>
      <c r="M537" s="7">
        <f t="shared" si="24"/>
        <v>9.51</v>
      </c>
      <c r="N537" t="str">
        <f t="shared" si="25"/>
        <v>Liberica</v>
      </c>
      <c r="O537" t="str">
        <f t="shared" si="26"/>
        <v>Light</v>
      </c>
      <c r="P537" t="str">
        <f>_xlfn.XLOOKUP(Table1[[#This Row],[Customer ID]],customers!$A$1:$A$1001,customers!$I$1:$I$1001,,0)</f>
        <v>No</v>
      </c>
    </row>
    <row r="538" spans="1:16" x14ac:dyDescent="0.2">
      <c r="A538" s="2" t="s">
        <v>3521</v>
      </c>
      <c r="B538" s="3">
        <v>43544</v>
      </c>
      <c r="C538" s="2" t="s">
        <v>3368</v>
      </c>
      <c r="D538" t="s">
        <v>6163</v>
      </c>
      <c r="E538" s="2">
        <v>3</v>
      </c>
      <c r="F538" s="2" t="e">
        <f>_xlfn.XLOOKUP(C538,customers!$A537:$A1537,customers!$B537:$B1537,,0)</f>
        <v>#N/A</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5">
        <f>INDEX(products!$A$1:$G$49,MATCH(orders!$D538,products!$A$1:$A$49,0),MATCH(orders!K$1,products!$A$1:$G$1,0))</f>
        <v>0.2</v>
      </c>
      <c r="L538" s="7">
        <f>INDEX(products!$A$1:$G$49,MATCH(orders!$D538,products!$A$1:$A$49,0),MATCH(orders!L$1,products!$A$1:$G$1,0))</f>
        <v>2.6849999999999996</v>
      </c>
      <c r="M538" s="7">
        <f t="shared" si="24"/>
        <v>8.0549999999999997</v>
      </c>
      <c r="N538" t="str">
        <f t="shared" si="25"/>
        <v>Robusta</v>
      </c>
      <c r="O538" t="str">
        <f t="shared" si="26"/>
        <v>Dark</v>
      </c>
      <c r="P538" t="str">
        <f>_xlfn.XLOOKUP(Table1[[#This Row],[Customer ID]],customers!$A$1:$A$1001,customers!$I$1:$I$1001,,0)</f>
        <v>Yes</v>
      </c>
    </row>
    <row r="539" spans="1:16" x14ac:dyDescent="0.2">
      <c r="A539" s="2" t="s">
        <v>3527</v>
      </c>
      <c r="B539" s="3">
        <v>44156</v>
      </c>
      <c r="C539" s="2" t="s">
        <v>3528</v>
      </c>
      <c r="D539" t="s">
        <v>6185</v>
      </c>
      <c r="E539" s="2">
        <v>4</v>
      </c>
      <c r="F539" s="2" t="str">
        <f>_xlfn.XLOOKUP(C539,customers!$A538:$A1538,customers!$B538:$B1538,,0)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5">
        <f>INDEX(products!$A$1:$G$49,MATCH(orders!$D539,products!$A$1:$A$49,0),MATCH(orders!K$1,products!$A$1:$G$1,0))</f>
        <v>2.5</v>
      </c>
      <c r="L539" s="7">
        <f>INDEX(products!$A$1:$G$49,MATCH(orders!$D539,products!$A$1:$A$49,0),MATCH(orders!L$1,products!$A$1:$G$1,0))</f>
        <v>27.945</v>
      </c>
      <c r="M539" s="7">
        <f t="shared" si="24"/>
        <v>111.78</v>
      </c>
      <c r="N539" t="str">
        <f t="shared" si="25"/>
        <v>Excelsa</v>
      </c>
      <c r="O539" t="str">
        <f t="shared" si="26"/>
        <v>Dark</v>
      </c>
      <c r="P539" t="str">
        <f>_xlfn.XLOOKUP(Table1[[#This Row],[Customer ID]],customers!$A$1:$A$1001,customers!$I$1:$I$1001,,0)</f>
        <v>Yes</v>
      </c>
    </row>
    <row r="540" spans="1:16" x14ac:dyDescent="0.2">
      <c r="A540" s="2" t="s">
        <v>3532</v>
      </c>
      <c r="B540" s="3">
        <v>44482</v>
      </c>
      <c r="C540" s="2" t="s">
        <v>3533</v>
      </c>
      <c r="D540" t="s">
        <v>6163</v>
      </c>
      <c r="E540" s="2">
        <v>4</v>
      </c>
      <c r="F540" s="2" t="str">
        <f>_xlfn.XLOOKUP(C540,customers!$A539:$A1539,customers!$B539:$B1539,,0)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5">
        <f>INDEX(products!$A$1:$G$49,MATCH(orders!$D540,products!$A$1:$A$49,0),MATCH(orders!K$1,products!$A$1:$G$1,0))</f>
        <v>0.2</v>
      </c>
      <c r="L540" s="7">
        <f>INDEX(products!$A$1:$G$49,MATCH(orders!$D540,products!$A$1:$A$49,0),MATCH(orders!L$1,products!$A$1:$G$1,0))</f>
        <v>2.6849999999999996</v>
      </c>
      <c r="M540" s="7">
        <f t="shared" si="24"/>
        <v>10.739999999999998</v>
      </c>
      <c r="N540" t="str">
        <f t="shared" si="25"/>
        <v>Robusta</v>
      </c>
      <c r="O540" t="str">
        <f t="shared" si="26"/>
        <v>Dark</v>
      </c>
      <c r="P540" t="str">
        <f>_xlfn.XLOOKUP(Table1[[#This Row],[Customer ID]],customers!$A$1:$A$1001,customers!$I$1:$I$1001,,0)</f>
        <v>Yes</v>
      </c>
    </row>
    <row r="541" spans="1:16" x14ac:dyDescent="0.2">
      <c r="A541" s="2" t="s">
        <v>3537</v>
      </c>
      <c r="B541" s="3">
        <v>44488</v>
      </c>
      <c r="C541" s="2" t="s">
        <v>3538</v>
      </c>
      <c r="D541" t="s">
        <v>6172</v>
      </c>
      <c r="E541" s="2">
        <v>5</v>
      </c>
      <c r="F541" s="2" t="str">
        <f>_xlfn.XLOOKUP(C541,customers!$A540:$A1540,customers!$B540:$B1540,,0)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5">
        <f>INDEX(products!$A$1:$G$49,MATCH(orders!$D541,products!$A$1:$A$49,0),MATCH(orders!K$1,products!$A$1:$G$1,0))</f>
        <v>0.5</v>
      </c>
      <c r="L541" s="7">
        <f>INDEX(products!$A$1:$G$49,MATCH(orders!$D541,products!$A$1:$A$49,0),MATCH(orders!L$1,products!$A$1:$G$1,0))</f>
        <v>5.3699999999999992</v>
      </c>
      <c r="M541" s="7">
        <f t="shared" si="24"/>
        <v>26.849999999999994</v>
      </c>
      <c r="N541" t="str">
        <f t="shared" si="25"/>
        <v>Robusta</v>
      </c>
      <c r="O541" t="str">
        <f t="shared" si="26"/>
        <v>Dark</v>
      </c>
      <c r="P541" t="str">
        <f>_xlfn.XLOOKUP(Table1[[#This Row],[Customer ID]],customers!$A$1:$A$1001,customers!$I$1:$I$1001,,0)</f>
        <v>No</v>
      </c>
    </row>
    <row r="542" spans="1:16" x14ac:dyDescent="0.2">
      <c r="A542" s="2" t="s">
        <v>3542</v>
      </c>
      <c r="B542" s="3">
        <v>43584</v>
      </c>
      <c r="C542" s="2" t="s">
        <v>3543</v>
      </c>
      <c r="D542" t="s">
        <v>6170</v>
      </c>
      <c r="E542" s="2">
        <v>4</v>
      </c>
      <c r="F542" s="2" t="str">
        <f>_xlfn.XLOOKUP(C542,customers!$A541:$A1541,customers!$B541:$B1541,,0)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5">
        <f>INDEX(products!$A$1:$G$49,MATCH(orders!$D542,products!$A$1:$A$49,0),MATCH(orders!K$1,products!$A$1:$G$1,0))</f>
        <v>1</v>
      </c>
      <c r="L542" s="7">
        <f>INDEX(products!$A$1:$G$49,MATCH(orders!$D542,products!$A$1:$A$49,0),MATCH(orders!L$1,products!$A$1:$G$1,0))</f>
        <v>15.85</v>
      </c>
      <c r="M542" s="7">
        <f t="shared" si="24"/>
        <v>63.4</v>
      </c>
      <c r="N542" t="str">
        <f t="shared" si="25"/>
        <v>Liberica</v>
      </c>
      <c r="O542" t="str">
        <f t="shared" si="26"/>
        <v>Light</v>
      </c>
      <c r="P542" t="str">
        <f>_xlfn.XLOOKUP(Table1[[#This Row],[Customer ID]],customers!$A$1:$A$1001,customers!$I$1:$I$1001,,0)</f>
        <v>Yes</v>
      </c>
    </row>
    <row r="543" spans="1:16" x14ac:dyDescent="0.2">
      <c r="A543" s="2" t="s">
        <v>3548</v>
      </c>
      <c r="B543" s="3">
        <v>43750</v>
      </c>
      <c r="C543" s="2" t="s">
        <v>3549</v>
      </c>
      <c r="D543" t="s">
        <v>6168</v>
      </c>
      <c r="E543" s="2">
        <v>1</v>
      </c>
      <c r="F543" s="2" t="str">
        <f>_xlfn.XLOOKUP(C543,customers!$A542:$A1542,customers!$B542:$B1542,,0)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5">
        <f>INDEX(products!$A$1:$G$49,MATCH(orders!$D543,products!$A$1:$A$49,0),MATCH(orders!K$1,products!$A$1:$G$1,0))</f>
        <v>2.5</v>
      </c>
      <c r="L543" s="7">
        <f>INDEX(products!$A$1:$G$49,MATCH(orders!$D543,products!$A$1:$A$49,0),MATCH(orders!L$1,products!$A$1:$G$1,0))</f>
        <v>22.884999999999998</v>
      </c>
      <c r="M543" s="7">
        <f t="shared" si="24"/>
        <v>22.884999999999998</v>
      </c>
      <c r="N543" t="str">
        <f t="shared" si="25"/>
        <v>Arabica</v>
      </c>
      <c r="O543" t="str">
        <f t="shared" si="26"/>
        <v>Dark</v>
      </c>
      <c r="P543" t="str">
        <f>_xlfn.XLOOKUP(Table1[[#This Row],[Customer ID]],customers!$A$1:$A$1001,customers!$I$1:$I$1001,,0)</f>
        <v>Yes</v>
      </c>
    </row>
    <row r="544" spans="1:16" x14ac:dyDescent="0.2">
      <c r="A544" s="2" t="s">
        <v>3553</v>
      </c>
      <c r="B544" s="3">
        <v>44335</v>
      </c>
      <c r="C544" s="2" t="s">
        <v>3554</v>
      </c>
      <c r="D544" t="s">
        <v>6175</v>
      </c>
      <c r="E544" s="2">
        <v>4</v>
      </c>
      <c r="F544" s="2" t="str">
        <f>_xlfn.XLOOKUP(C544,customers!$A543:$A1543,customers!$B543:$B1543,,0)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5">
        <f>INDEX(products!$A$1:$G$49,MATCH(orders!$D544,products!$A$1:$A$49,0),MATCH(orders!K$1,products!$A$1:$G$1,0))</f>
        <v>2.5</v>
      </c>
      <c r="L544" s="7">
        <f>INDEX(products!$A$1:$G$49,MATCH(orders!$D544,products!$A$1:$A$49,0),MATCH(orders!L$1,products!$A$1:$G$1,0))</f>
        <v>25.874999999999996</v>
      </c>
      <c r="M544" s="7">
        <f t="shared" si="24"/>
        <v>103.49999999999999</v>
      </c>
      <c r="N544" t="str">
        <f t="shared" si="25"/>
        <v>Arabica</v>
      </c>
      <c r="O544" t="str">
        <f t="shared" si="26"/>
        <v>Medium</v>
      </c>
      <c r="P544" t="str">
        <f>_xlfn.XLOOKUP(Table1[[#This Row],[Customer ID]],customers!$A$1:$A$1001,customers!$I$1:$I$1001,,0)</f>
        <v>No</v>
      </c>
    </row>
    <row r="545" spans="1:16" x14ac:dyDescent="0.2">
      <c r="A545" s="2" t="s">
        <v>3559</v>
      </c>
      <c r="B545" s="3">
        <v>44380</v>
      </c>
      <c r="C545" s="2" t="s">
        <v>3560</v>
      </c>
      <c r="D545" t="s">
        <v>6142</v>
      </c>
      <c r="E545" s="2">
        <v>2</v>
      </c>
      <c r="F545" s="2" t="str">
        <f>_xlfn.XLOOKUP(C545,customers!$A544:$A1544,customers!$B544:$B1544,,0)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5">
        <f>INDEX(products!$A$1:$G$49,MATCH(orders!$D545,products!$A$1:$A$49,0),MATCH(orders!K$1,products!$A$1:$G$1,0))</f>
        <v>2.5</v>
      </c>
      <c r="L545" s="7">
        <f>INDEX(products!$A$1:$G$49,MATCH(orders!$D545,products!$A$1:$A$49,0),MATCH(orders!L$1,products!$A$1:$G$1,0))</f>
        <v>27.484999999999996</v>
      </c>
      <c r="M545" s="7">
        <f t="shared" si="24"/>
        <v>54.969999999999992</v>
      </c>
      <c r="N545" t="str">
        <f t="shared" si="25"/>
        <v>Robusta</v>
      </c>
      <c r="O545" t="str">
        <f t="shared" si="26"/>
        <v>Light</v>
      </c>
      <c r="P545" t="str">
        <f>_xlfn.XLOOKUP(Table1[[#This Row],[Customer ID]],customers!$A$1:$A$1001,customers!$I$1:$I$1001,,0)</f>
        <v>No</v>
      </c>
    </row>
    <row r="546" spans="1:16" x14ac:dyDescent="0.2">
      <c r="A546" s="2" t="s">
        <v>3565</v>
      </c>
      <c r="B546" s="3">
        <v>43869</v>
      </c>
      <c r="C546" s="2" t="s">
        <v>3566</v>
      </c>
      <c r="D546" t="s">
        <v>6180</v>
      </c>
      <c r="E546" s="2">
        <v>2</v>
      </c>
      <c r="F546" s="2" t="str">
        <f>_xlfn.XLOOKUP(C546,customers!$A545:$A1545,customers!$B545:$B1545,,0)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5">
        <f>INDEX(products!$A$1:$G$49,MATCH(orders!$D546,products!$A$1:$A$49,0),MATCH(orders!K$1,products!$A$1:$G$1,0))</f>
        <v>0.5</v>
      </c>
      <c r="L546" s="7">
        <f>INDEX(products!$A$1:$G$49,MATCH(orders!$D546,products!$A$1:$A$49,0),MATCH(orders!L$1,products!$A$1:$G$1,0))</f>
        <v>7.77</v>
      </c>
      <c r="M546" s="7">
        <f t="shared" si="24"/>
        <v>15.54</v>
      </c>
      <c r="N546" t="str">
        <f t="shared" si="25"/>
        <v>Arabica</v>
      </c>
      <c r="O546" t="str">
        <f t="shared" si="26"/>
        <v>Light</v>
      </c>
      <c r="P546" t="str">
        <f>_xlfn.XLOOKUP(Table1[[#This Row],[Customer ID]],customers!$A$1:$A$1001,customers!$I$1:$I$1001,,0)</f>
        <v>No</v>
      </c>
    </row>
    <row r="547" spans="1:16" x14ac:dyDescent="0.2">
      <c r="A547" s="2" t="s">
        <v>3571</v>
      </c>
      <c r="B547" s="3">
        <v>44120</v>
      </c>
      <c r="C547" s="2" t="s">
        <v>3572</v>
      </c>
      <c r="D547" t="s">
        <v>6150</v>
      </c>
      <c r="E547" s="2">
        <v>4</v>
      </c>
      <c r="F547" s="2" t="str">
        <f>_xlfn.XLOOKUP(C547,customers!$A546:$A1546,customers!$B546:$B1546,,0)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5">
        <f>INDEX(products!$A$1:$G$49,MATCH(orders!$D547,products!$A$1:$A$49,0),MATCH(orders!K$1,products!$A$1:$G$1,0))</f>
        <v>0.2</v>
      </c>
      <c r="L547" s="7">
        <f>INDEX(products!$A$1:$G$49,MATCH(orders!$D547,products!$A$1:$A$49,0),MATCH(orders!L$1,products!$A$1:$G$1,0))</f>
        <v>3.8849999999999998</v>
      </c>
      <c r="M547" s="7">
        <f t="shared" si="24"/>
        <v>15.54</v>
      </c>
      <c r="N547" t="str">
        <f t="shared" si="25"/>
        <v>Liberica</v>
      </c>
      <c r="O547" t="str">
        <f t="shared" si="26"/>
        <v>Dark</v>
      </c>
      <c r="P547" t="str">
        <f>_xlfn.XLOOKUP(Table1[[#This Row],[Customer ID]],customers!$A$1:$A$1001,customers!$I$1:$I$1001,,0)</f>
        <v>No</v>
      </c>
    </row>
    <row r="548" spans="1:16" x14ac:dyDescent="0.2">
      <c r="A548" s="2" t="s">
        <v>3577</v>
      </c>
      <c r="B548" s="3">
        <v>44127</v>
      </c>
      <c r="C548" s="2" t="s">
        <v>3578</v>
      </c>
      <c r="D548" t="s">
        <v>6185</v>
      </c>
      <c r="E548" s="2">
        <v>3</v>
      </c>
      <c r="F548" s="2" t="str">
        <f>_xlfn.XLOOKUP(C548,customers!$A547:$A1547,customers!$B547:$B1547,,0)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5">
        <f>INDEX(products!$A$1:$G$49,MATCH(orders!$D548,products!$A$1:$A$49,0),MATCH(orders!K$1,products!$A$1:$G$1,0))</f>
        <v>2.5</v>
      </c>
      <c r="L548" s="7">
        <f>INDEX(products!$A$1:$G$49,MATCH(orders!$D548,products!$A$1:$A$49,0),MATCH(orders!L$1,products!$A$1:$G$1,0))</f>
        <v>27.945</v>
      </c>
      <c r="M548" s="7">
        <f t="shared" si="24"/>
        <v>83.835000000000008</v>
      </c>
      <c r="N548" t="str">
        <f t="shared" si="25"/>
        <v>Excelsa</v>
      </c>
      <c r="O548" t="str">
        <f t="shared" si="26"/>
        <v>Dark</v>
      </c>
      <c r="P548" t="str">
        <f>_xlfn.XLOOKUP(Table1[[#This Row],[Customer ID]],customers!$A$1:$A$1001,customers!$I$1:$I$1001,,0)</f>
        <v>No</v>
      </c>
    </row>
    <row r="549" spans="1:16" x14ac:dyDescent="0.2">
      <c r="A549" s="2" t="s">
        <v>3582</v>
      </c>
      <c r="B549" s="3">
        <v>44265</v>
      </c>
      <c r="C549" s="2" t="s">
        <v>3594</v>
      </c>
      <c r="D549" t="s">
        <v>6178</v>
      </c>
      <c r="E549" s="2">
        <v>3</v>
      </c>
      <c r="F549" s="2" t="str">
        <f>_xlfn.XLOOKUP(C549,customers!$A548:$A1548,customers!$B548:$B1548,,0)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5">
        <f>INDEX(products!$A$1:$G$49,MATCH(orders!$D549,products!$A$1:$A$49,0),MATCH(orders!K$1,products!$A$1:$G$1,0))</f>
        <v>0.2</v>
      </c>
      <c r="L549" s="7">
        <f>INDEX(products!$A$1:$G$49,MATCH(orders!$D549,products!$A$1:$A$49,0),MATCH(orders!L$1,products!$A$1:$G$1,0))</f>
        <v>3.5849999999999995</v>
      </c>
      <c r="M549" s="7">
        <f t="shared" si="24"/>
        <v>10.754999999999999</v>
      </c>
      <c r="N549" t="str">
        <f t="shared" si="25"/>
        <v>Robusta</v>
      </c>
      <c r="O549" t="str">
        <f t="shared" si="26"/>
        <v>Light</v>
      </c>
      <c r="P549" t="str">
        <f>_xlfn.XLOOKUP(Table1[[#This Row],[Customer ID]],customers!$A$1:$A$1001,customers!$I$1:$I$1001,,0)</f>
        <v>Yes</v>
      </c>
    </row>
    <row r="550" spans="1:16" x14ac:dyDescent="0.2">
      <c r="A550" s="2" t="s">
        <v>3587</v>
      </c>
      <c r="B550" s="3">
        <v>44384</v>
      </c>
      <c r="C550" s="2" t="s">
        <v>3588</v>
      </c>
      <c r="D550" t="s">
        <v>6184</v>
      </c>
      <c r="E550" s="2">
        <v>3</v>
      </c>
      <c r="F550" s="2" t="str">
        <f>_xlfn.XLOOKUP(C550,customers!$A549:$A1549,customers!$B549:$B1549,,0)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5">
        <f>INDEX(products!$A$1:$G$49,MATCH(orders!$D550,products!$A$1:$A$49,0),MATCH(orders!K$1,products!$A$1:$G$1,0))</f>
        <v>0.2</v>
      </c>
      <c r="L550" s="7">
        <f>INDEX(products!$A$1:$G$49,MATCH(orders!$D550,products!$A$1:$A$49,0),MATCH(orders!L$1,products!$A$1:$G$1,0))</f>
        <v>4.4550000000000001</v>
      </c>
      <c r="M550" s="7">
        <f t="shared" si="24"/>
        <v>13.365</v>
      </c>
      <c r="N550" t="str">
        <f t="shared" si="25"/>
        <v>Excelsa</v>
      </c>
      <c r="O550" t="str">
        <f t="shared" si="26"/>
        <v>Light</v>
      </c>
      <c r="P550" t="str">
        <f>_xlfn.XLOOKUP(Table1[[#This Row],[Customer ID]],customers!$A$1:$A$1001,customers!$I$1:$I$1001,,0)</f>
        <v>Yes</v>
      </c>
    </row>
    <row r="551" spans="1:16" x14ac:dyDescent="0.2">
      <c r="A551" s="2" t="s">
        <v>3593</v>
      </c>
      <c r="B551" s="3">
        <v>44232</v>
      </c>
      <c r="C551" s="2" t="s">
        <v>3594</v>
      </c>
      <c r="D551" t="s">
        <v>6184</v>
      </c>
      <c r="E551" s="2">
        <v>4</v>
      </c>
      <c r="F551" s="2" t="str">
        <f>_xlfn.XLOOKUP(C551,customers!$A550:$A1550,customers!$B550:$B1550,,0)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5">
        <f>INDEX(products!$A$1:$G$49,MATCH(orders!$D551,products!$A$1:$A$49,0),MATCH(orders!K$1,products!$A$1:$G$1,0))</f>
        <v>0.2</v>
      </c>
      <c r="L551" s="7">
        <f>INDEX(products!$A$1:$G$49,MATCH(orders!$D551,products!$A$1:$A$49,0),MATCH(orders!L$1,products!$A$1:$G$1,0))</f>
        <v>4.4550000000000001</v>
      </c>
      <c r="M551" s="7">
        <f t="shared" si="24"/>
        <v>17.82</v>
      </c>
      <c r="N551" t="str">
        <f t="shared" si="25"/>
        <v>Excelsa</v>
      </c>
      <c r="O551" t="str">
        <f t="shared" si="26"/>
        <v>Light</v>
      </c>
      <c r="P551" t="str">
        <f>_xlfn.XLOOKUP(Table1[[#This Row],[Customer ID]],customers!$A$1:$A$1001,customers!$I$1:$I$1001,,0)</f>
        <v>Yes</v>
      </c>
    </row>
    <row r="552" spans="1:16" x14ac:dyDescent="0.2">
      <c r="A552" s="2" t="s">
        <v>3599</v>
      </c>
      <c r="B552" s="3">
        <v>44176</v>
      </c>
      <c r="C552" s="2" t="s">
        <v>3600</v>
      </c>
      <c r="D552" t="s">
        <v>6150</v>
      </c>
      <c r="E552" s="2">
        <v>6</v>
      </c>
      <c r="F552" s="2" t="str">
        <f>_xlfn.XLOOKUP(C552,customers!$A551:$A1551,customers!$B551:$B1551,,0)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5">
        <f>INDEX(products!$A$1:$G$49,MATCH(orders!$D552,products!$A$1:$A$49,0),MATCH(orders!K$1,products!$A$1:$G$1,0))</f>
        <v>0.2</v>
      </c>
      <c r="L552" s="7">
        <f>INDEX(products!$A$1:$G$49,MATCH(orders!$D552,products!$A$1:$A$49,0),MATCH(orders!L$1,products!$A$1:$G$1,0))</f>
        <v>3.8849999999999998</v>
      </c>
      <c r="M552" s="7">
        <f t="shared" si="24"/>
        <v>23.31</v>
      </c>
      <c r="N552" t="str">
        <f t="shared" si="25"/>
        <v>Liberica</v>
      </c>
      <c r="O552" t="str">
        <f t="shared" si="26"/>
        <v>Dark</v>
      </c>
      <c r="P552" t="str">
        <f>_xlfn.XLOOKUP(Table1[[#This Row],[Customer ID]],customers!$A$1:$A$1001,customers!$I$1:$I$1001,,0)</f>
        <v>Yes</v>
      </c>
    </row>
    <row r="553" spans="1:16" x14ac:dyDescent="0.2">
      <c r="A553" s="2" t="s">
        <v>3605</v>
      </c>
      <c r="B553" s="3">
        <v>44694</v>
      </c>
      <c r="C553" s="2" t="s">
        <v>3606</v>
      </c>
      <c r="D553" t="s">
        <v>6153</v>
      </c>
      <c r="E553" s="2">
        <v>2</v>
      </c>
      <c r="F553" s="2" t="str">
        <f>_xlfn.XLOOKUP(C553,customers!$A552:$A1552,customers!$B552:$B1552,,0)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5">
        <f>INDEX(products!$A$1:$G$49,MATCH(orders!$D553,products!$A$1:$A$49,0),MATCH(orders!K$1,products!$A$1:$G$1,0))</f>
        <v>0.2</v>
      </c>
      <c r="L553" s="7">
        <f>INDEX(products!$A$1:$G$49,MATCH(orders!$D553,products!$A$1:$A$49,0),MATCH(orders!L$1,products!$A$1:$G$1,0))</f>
        <v>3.645</v>
      </c>
      <c r="M553" s="7">
        <f t="shared" si="24"/>
        <v>7.29</v>
      </c>
      <c r="N553" t="str">
        <f t="shared" si="25"/>
        <v>Excelsa</v>
      </c>
      <c r="O553" t="str">
        <f t="shared" si="26"/>
        <v>Dark</v>
      </c>
      <c r="P553" t="str">
        <f>_xlfn.XLOOKUP(Table1[[#This Row],[Customer ID]],customers!$A$1:$A$1001,customers!$I$1:$I$1001,,0)</f>
        <v>No</v>
      </c>
    </row>
    <row r="554" spans="1:16" x14ac:dyDescent="0.2">
      <c r="A554" s="2" t="s">
        <v>3611</v>
      </c>
      <c r="B554" s="3">
        <v>43761</v>
      </c>
      <c r="C554" s="2" t="s">
        <v>3612</v>
      </c>
      <c r="D554" t="s">
        <v>6184</v>
      </c>
      <c r="E554" s="2">
        <v>4</v>
      </c>
      <c r="F554" s="2" t="str">
        <f>_xlfn.XLOOKUP(C554,customers!$A553:$A1553,customers!$B553:$B1553,,0)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5">
        <f>INDEX(products!$A$1:$G$49,MATCH(orders!$D554,products!$A$1:$A$49,0),MATCH(orders!K$1,products!$A$1:$G$1,0))</f>
        <v>0.2</v>
      </c>
      <c r="L554" s="7">
        <f>INDEX(products!$A$1:$G$49,MATCH(orders!$D554,products!$A$1:$A$49,0),MATCH(orders!L$1,products!$A$1:$G$1,0))</f>
        <v>4.4550000000000001</v>
      </c>
      <c r="M554" s="7">
        <f t="shared" si="24"/>
        <v>17.82</v>
      </c>
      <c r="N554" t="str">
        <f t="shared" si="25"/>
        <v>Excelsa</v>
      </c>
      <c r="O554" t="str">
        <f t="shared" si="26"/>
        <v>Light</v>
      </c>
      <c r="P554" t="str">
        <f>_xlfn.XLOOKUP(Table1[[#This Row],[Customer ID]],customers!$A$1:$A$1001,customers!$I$1:$I$1001,,0)</f>
        <v>Yes</v>
      </c>
    </row>
    <row r="555" spans="1:16" x14ac:dyDescent="0.2">
      <c r="A555" s="2" t="s">
        <v>3617</v>
      </c>
      <c r="B555" s="3">
        <v>44085</v>
      </c>
      <c r="C555" s="2" t="s">
        <v>3618</v>
      </c>
      <c r="D555" t="s">
        <v>6141</v>
      </c>
      <c r="E555" s="2">
        <v>5</v>
      </c>
      <c r="F555" s="2" t="str">
        <f>_xlfn.XLOOKUP(C555,customers!$A554:$A1554,customers!$B554:$B1554,,0)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5">
        <f>INDEX(products!$A$1:$G$49,MATCH(orders!$D555,products!$A$1:$A$49,0),MATCH(orders!K$1,products!$A$1:$G$1,0))</f>
        <v>1</v>
      </c>
      <c r="L555" s="7">
        <f>INDEX(products!$A$1:$G$49,MATCH(orders!$D555,products!$A$1:$A$49,0),MATCH(orders!L$1,products!$A$1:$G$1,0))</f>
        <v>13.75</v>
      </c>
      <c r="M555" s="7">
        <f t="shared" si="24"/>
        <v>68.75</v>
      </c>
      <c r="N555" t="str">
        <f t="shared" si="25"/>
        <v>Excelsa</v>
      </c>
      <c r="O555" t="str">
        <f t="shared" si="26"/>
        <v>Medium</v>
      </c>
      <c r="P555" t="str">
        <f>_xlfn.XLOOKUP(Table1[[#This Row],[Customer ID]],customers!$A$1:$A$1001,customers!$I$1:$I$1001,,0)</f>
        <v>No</v>
      </c>
    </row>
    <row r="556" spans="1:16" x14ac:dyDescent="0.2">
      <c r="A556" s="2" t="s">
        <v>3622</v>
      </c>
      <c r="B556" s="3">
        <v>43737</v>
      </c>
      <c r="C556" s="2" t="s">
        <v>3623</v>
      </c>
      <c r="D556" t="s">
        <v>6142</v>
      </c>
      <c r="E556" s="2">
        <v>2</v>
      </c>
      <c r="F556" s="2" t="str">
        <f>_xlfn.XLOOKUP(C556,customers!$A555:$A1555,customers!$B555:$B1555,,0)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5">
        <f>INDEX(products!$A$1:$G$49,MATCH(orders!$D556,products!$A$1:$A$49,0),MATCH(orders!K$1,products!$A$1:$G$1,0))</f>
        <v>2.5</v>
      </c>
      <c r="L556" s="7">
        <f>INDEX(products!$A$1:$G$49,MATCH(orders!$D556,products!$A$1:$A$49,0),MATCH(orders!L$1,products!$A$1:$G$1,0))</f>
        <v>27.484999999999996</v>
      </c>
      <c r="M556" s="7">
        <f t="shared" si="24"/>
        <v>54.969999999999992</v>
      </c>
      <c r="N556" t="str">
        <f t="shared" si="25"/>
        <v>Robusta</v>
      </c>
      <c r="O556" t="str">
        <f t="shared" si="26"/>
        <v>Light</v>
      </c>
      <c r="P556" t="str">
        <f>_xlfn.XLOOKUP(Table1[[#This Row],[Customer ID]],customers!$A$1:$A$1001,customers!$I$1:$I$1001,,0)</f>
        <v>Yes</v>
      </c>
    </row>
    <row r="557" spans="1:16" x14ac:dyDescent="0.2">
      <c r="A557" s="2" t="s">
        <v>3627</v>
      </c>
      <c r="B557" s="3">
        <v>44258</v>
      </c>
      <c r="C557" s="2" t="s">
        <v>3628</v>
      </c>
      <c r="D557" t="s">
        <v>6141</v>
      </c>
      <c r="E557" s="2">
        <v>6</v>
      </c>
      <c r="F557" s="2" t="str">
        <f>_xlfn.XLOOKUP(C557,customers!$A556:$A1556,customers!$B556:$B1556,,0)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5">
        <f>INDEX(products!$A$1:$G$49,MATCH(orders!$D557,products!$A$1:$A$49,0),MATCH(orders!K$1,products!$A$1:$G$1,0))</f>
        <v>1</v>
      </c>
      <c r="L557" s="7">
        <f>INDEX(products!$A$1:$G$49,MATCH(orders!$D557,products!$A$1:$A$49,0),MATCH(orders!L$1,products!$A$1:$G$1,0))</f>
        <v>13.75</v>
      </c>
      <c r="M557" s="7">
        <f t="shared" si="24"/>
        <v>82.5</v>
      </c>
      <c r="N557" t="str">
        <f t="shared" si="25"/>
        <v>Excelsa</v>
      </c>
      <c r="O557" t="str">
        <f t="shared" si="26"/>
        <v>Medium</v>
      </c>
      <c r="P557" t="str">
        <f>_xlfn.XLOOKUP(Table1[[#This Row],[Customer ID]],customers!$A$1:$A$1001,customers!$I$1:$I$1001,,0)</f>
        <v>No</v>
      </c>
    </row>
    <row r="558" spans="1:16" x14ac:dyDescent="0.2">
      <c r="A558" s="2" t="s">
        <v>3633</v>
      </c>
      <c r="B558" s="3">
        <v>44523</v>
      </c>
      <c r="C558" s="2" t="s">
        <v>3634</v>
      </c>
      <c r="D558" t="s">
        <v>6159</v>
      </c>
      <c r="E558" s="2">
        <v>2</v>
      </c>
      <c r="F558" s="2" t="str">
        <f>_xlfn.XLOOKUP(C558,customers!$A557:$A1557,customers!$B557:$B1557,,0)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5">
        <f>INDEX(products!$A$1:$G$49,MATCH(orders!$D558,products!$A$1:$A$49,0),MATCH(orders!K$1,products!$A$1:$G$1,0))</f>
        <v>0.2</v>
      </c>
      <c r="L558" s="7">
        <f>INDEX(products!$A$1:$G$49,MATCH(orders!$D558,products!$A$1:$A$49,0),MATCH(orders!L$1,products!$A$1:$G$1,0))</f>
        <v>4.3650000000000002</v>
      </c>
      <c r="M558" s="7">
        <f t="shared" si="24"/>
        <v>8.73</v>
      </c>
      <c r="N558" t="str">
        <f t="shared" si="25"/>
        <v>Liberica</v>
      </c>
      <c r="O558" t="str">
        <f t="shared" si="26"/>
        <v>Medium</v>
      </c>
      <c r="P558" t="str">
        <f>_xlfn.XLOOKUP(Table1[[#This Row],[Customer ID]],customers!$A$1:$A$1001,customers!$I$1:$I$1001,,0)</f>
        <v>Yes</v>
      </c>
    </row>
    <row r="559" spans="1:16" x14ac:dyDescent="0.2">
      <c r="A559" s="2" t="s">
        <v>3638</v>
      </c>
      <c r="B559" s="3">
        <v>44506</v>
      </c>
      <c r="C559" s="2" t="s">
        <v>3368</v>
      </c>
      <c r="D559" t="s">
        <v>6171</v>
      </c>
      <c r="E559" s="2">
        <v>4</v>
      </c>
      <c r="F559" s="2" t="e">
        <f>_xlfn.XLOOKUP(C559,customers!$A558:$A1558,customers!$B558:$B1558,,0)</f>
        <v>#N/A</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5">
        <f>INDEX(products!$A$1:$G$49,MATCH(orders!$D559,products!$A$1:$A$49,0),MATCH(orders!K$1,products!$A$1:$G$1,0))</f>
        <v>1</v>
      </c>
      <c r="L559" s="7">
        <f>INDEX(products!$A$1:$G$49,MATCH(orders!$D559,products!$A$1:$A$49,0),MATCH(orders!L$1,products!$A$1:$G$1,0))</f>
        <v>14.85</v>
      </c>
      <c r="M559" s="7">
        <f t="shared" si="24"/>
        <v>59.4</v>
      </c>
      <c r="N559" t="str">
        <f t="shared" si="25"/>
        <v>Excelsa</v>
      </c>
      <c r="O559" t="str">
        <f t="shared" si="26"/>
        <v>Light</v>
      </c>
      <c r="P559" t="str">
        <f>_xlfn.XLOOKUP(Table1[[#This Row],[Customer ID]],customers!$A$1:$A$1001,customers!$I$1:$I$1001,,0)</f>
        <v>Yes</v>
      </c>
    </row>
    <row r="560" spans="1:16" x14ac:dyDescent="0.2">
      <c r="A560" s="2" t="s">
        <v>3643</v>
      </c>
      <c r="B560" s="3">
        <v>44225</v>
      </c>
      <c r="C560" s="2" t="s">
        <v>3644</v>
      </c>
      <c r="D560" t="s">
        <v>6150</v>
      </c>
      <c r="E560" s="2">
        <v>4</v>
      </c>
      <c r="F560" s="2" t="str">
        <f>_xlfn.XLOOKUP(C560,customers!$A559:$A1559,customers!$B559:$B1559,,0)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5">
        <f>INDEX(products!$A$1:$G$49,MATCH(orders!$D560,products!$A$1:$A$49,0),MATCH(orders!K$1,products!$A$1:$G$1,0))</f>
        <v>0.2</v>
      </c>
      <c r="L560" s="7">
        <f>INDEX(products!$A$1:$G$49,MATCH(orders!$D560,products!$A$1:$A$49,0),MATCH(orders!L$1,products!$A$1:$G$1,0))</f>
        <v>3.8849999999999998</v>
      </c>
      <c r="M560" s="7">
        <f t="shared" si="24"/>
        <v>15.54</v>
      </c>
      <c r="N560" t="str">
        <f t="shared" si="25"/>
        <v>Liberica</v>
      </c>
      <c r="O560" t="str">
        <f t="shared" si="26"/>
        <v>Dark</v>
      </c>
      <c r="P560" t="str">
        <f>_xlfn.XLOOKUP(Table1[[#This Row],[Customer ID]],customers!$A$1:$A$1001,customers!$I$1:$I$1001,,0)</f>
        <v>Yes</v>
      </c>
    </row>
    <row r="561" spans="1:16" x14ac:dyDescent="0.2">
      <c r="A561" s="2" t="s">
        <v>3648</v>
      </c>
      <c r="B561" s="3">
        <v>44667</v>
      </c>
      <c r="C561" s="2" t="s">
        <v>3649</v>
      </c>
      <c r="D561" t="s">
        <v>6140</v>
      </c>
      <c r="E561" s="2">
        <v>3</v>
      </c>
      <c r="F561" s="2" t="str">
        <f>_xlfn.XLOOKUP(C561,customers!$A560:$A1560,customers!$B560:$B1560,,0)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5">
        <f>INDEX(products!$A$1:$G$49,MATCH(orders!$D561,products!$A$1:$A$49,0),MATCH(orders!K$1,products!$A$1:$G$1,0))</f>
        <v>1</v>
      </c>
      <c r="L561" s="7">
        <f>INDEX(products!$A$1:$G$49,MATCH(orders!$D561,products!$A$1:$A$49,0),MATCH(orders!L$1,products!$A$1:$G$1,0))</f>
        <v>12.95</v>
      </c>
      <c r="M561" s="7">
        <f t="shared" si="24"/>
        <v>38.849999999999994</v>
      </c>
      <c r="N561" t="str">
        <f t="shared" si="25"/>
        <v>Arabica</v>
      </c>
      <c r="O561" t="str">
        <f t="shared" si="26"/>
        <v>Light</v>
      </c>
      <c r="P561" t="str">
        <f>_xlfn.XLOOKUP(Table1[[#This Row],[Customer ID]],customers!$A$1:$A$1001,customers!$I$1:$I$1001,,0)</f>
        <v>Yes</v>
      </c>
    </row>
    <row r="562" spans="1:16" x14ac:dyDescent="0.2">
      <c r="A562" s="2" t="s">
        <v>3654</v>
      </c>
      <c r="B562" s="3">
        <v>44401</v>
      </c>
      <c r="C562" s="2" t="s">
        <v>3655</v>
      </c>
      <c r="D562" t="s">
        <v>6166</v>
      </c>
      <c r="E562" s="2">
        <v>6</v>
      </c>
      <c r="F562" s="2" t="str">
        <f>_xlfn.XLOOKUP(C562,customers!$A561:$A1561,customers!$B561:$B1561,,0)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5">
        <f>INDEX(products!$A$1:$G$49,MATCH(orders!$D562,products!$A$1:$A$49,0),MATCH(orders!K$1,products!$A$1:$G$1,0))</f>
        <v>2.5</v>
      </c>
      <c r="L562" s="7">
        <f>INDEX(products!$A$1:$G$49,MATCH(orders!$D562,products!$A$1:$A$49,0),MATCH(orders!L$1,products!$A$1:$G$1,0))</f>
        <v>31.624999999999996</v>
      </c>
      <c r="M562" s="7">
        <f t="shared" si="24"/>
        <v>189.74999999999997</v>
      </c>
      <c r="N562" t="str">
        <f t="shared" si="25"/>
        <v>Excelsa</v>
      </c>
      <c r="O562" t="str">
        <f t="shared" si="26"/>
        <v>Medium</v>
      </c>
      <c r="P562" t="str">
        <f>_xlfn.XLOOKUP(Table1[[#This Row],[Customer ID]],customers!$A$1:$A$1001,customers!$I$1:$I$1001,,0)</f>
        <v>Yes</v>
      </c>
    </row>
    <row r="563" spans="1:16" x14ac:dyDescent="0.2">
      <c r="A563" s="2" t="s">
        <v>3659</v>
      </c>
      <c r="B563" s="3">
        <v>43688</v>
      </c>
      <c r="C563" s="2" t="s">
        <v>3660</v>
      </c>
      <c r="D563" t="s">
        <v>6154</v>
      </c>
      <c r="E563" s="2">
        <v>6</v>
      </c>
      <c r="F563" s="2" t="str">
        <f>_xlfn.XLOOKUP(C563,customers!$A562:$A1562,customers!$B562:$B1562,,0)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5">
        <f>INDEX(products!$A$1:$G$49,MATCH(orders!$D563,products!$A$1:$A$49,0),MATCH(orders!K$1,products!$A$1:$G$1,0))</f>
        <v>0.2</v>
      </c>
      <c r="L563" s="7">
        <f>INDEX(products!$A$1:$G$49,MATCH(orders!$D563,products!$A$1:$A$49,0),MATCH(orders!L$1,products!$A$1:$G$1,0))</f>
        <v>2.9849999999999999</v>
      </c>
      <c r="M563" s="7">
        <f t="shared" si="24"/>
        <v>17.91</v>
      </c>
      <c r="N563" t="str">
        <f t="shared" si="25"/>
        <v>Arabica</v>
      </c>
      <c r="O563" t="str">
        <f t="shared" si="26"/>
        <v>Dark</v>
      </c>
      <c r="P563" t="str">
        <f>_xlfn.XLOOKUP(Table1[[#This Row],[Customer ID]],customers!$A$1:$A$1001,customers!$I$1:$I$1001,,0)</f>
        <v>Yes</v>
      </c>
    </row>
    <row r="564" spans="1:16" x14ac:dyDescent="0.2">
      <c r="A564" s="2" t="s">
        <v>3665</v>
      </c>
      <c r="B564" s="3">
        <v>43669</v>
      </c>
      <c r="C564" s="2" t="s">
        <v>3666</v>
      </c>
      <c r="D564" t="s">
        <v>6145</v>
      </c>
      <c r="E564" s="2">
        <v>6</v>
      </c>
      <c r="F564" s="2" t="str">
        <f>_xlfn.XLOOKUP(C564,customers!$A563:$A1563,customers!$B563:$B1563,,0)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5">
        <f>INDEX(products!$A$1:$G$49,MATCH(orders!$D564,products!$A$1:$A$49,0),MATCH(orders!K$1,products!$A$1:$G$1,0))</f>
        <v>0.2</v>
      </c>
      <c r="L564" s="7">
        <f>INDEX(products!$A$1:$G$49,MATCH(orders!$D564,products!$A$1:$A$49,0),MATCH(orders!L$1,products!$A$1:$G$1,0))</f>
        <v>4.7549999999999999</v>
      </c>
      <c r="M564" s="7">
        <f t="shared" si="24"/>
        <v>28.53</v>
      </c>
      <c r="N564" t="str">
        <f t="shared" si="25"/>
        <v>Liberica</v>
      </c>
      <c r="O564" t="str">
        <f t="shared" si="26"/>
        <v>Light</v>
      </c>
      <c r="P564" t="str">
        <f>_xlfn.XLOOKUP(Table1[[#This Row],[Customer ID]],customers!$A$1:$A$1001,customers!$I$1:$I$1001,,0)</f>
        <v>No</v>
      </c>
    </row>
    <row r="565" spans="1:16" x14ac:dyDescent="0.2">
      <c r="A565" s="2" t="s">
        <v>3671</v>
      </c>
      <c r="B565" s="3">
        <v>43991</v>
      </c>
      <c r="C565" s="2" t="s">
        <v>3752</v>
      </c>
      <c r="D565" t="s">
        <v>6141</v>
      </c>
      <c r="E565" s="2">
        <v>6</v>
      </c>
      <c r="F565" s="2" t="str">
        <f>_xlfn.XLOOKUP(C565,customers!$A564:$A1564,customers!$B564:$B1564,,0)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5">
        <f>INDEX(products!$A$1:$G$49,MATCH(orders!$D565,products!$A$1:$A$49,0),MATCH(orders!K$1,products!$A$1:$G$1,0))</f>
        <v>1</v>
      </c>
      <c r="L565" s="7">
        <f>INDEX(products!$A$1:$G$49,MATCH(orders!$D565,products!$A$1:$A$49,0),MATCH(orders!L$1,products!$A$1:$G$1,0))</f>
        <v>13.75</v>
      </c>
      <c r="M565" s="7">
        <f t="shared" si="24"/>
        <v>82.5</v>
      </c>
      <c r="N565" t="str">
        <f t="shared" si="25"/>
        <v>Excelsa</v>
      </c>
      <c r="O565" t="str">
        <f t="shared" si="26"/>
        <v>Medium</v>
      </c>
      <c r="P565" t="str">
        <f>_xlfn.XLOOKUP(Table1[[#This Row],[Customer ID]],customers!$A$1:$A$1001,customers!$I$1:$I$1001,,0)</f>
        <v>No</v>
      </c>
    </row>
    <row r="566" spans="1:16" x14ac:dyDescent="0.2">
      <c r="A566" s="2" t="s">
        <v>3677</v>
      </c>
      <c r="B566" s="3">
        <v>43883</v>
      </c>
      <c r="C566" s="2" t="s">
        <v>3678</v>
      </c>
      <c r="D566" t="s">
        <v>6173</v>
      </c>
      <c r="E566" s="2">
        <v>2</v>
      </c>
      <c r="F566" s="2" t="str">
        <f>_xlfn.XLOOKUP(C566,customers!$A565:$A1565,customers!$B565:$B1565,,0)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5">
        <f>INDEX(products!$A$1:$G$49,MATCH(orders!$D566,products!$A$1:$A$49,0),MATCH(orders!K$1,products!$A$1:$G$1,0))</f>
        <v>0.5</v>
      </c>
      <c r="L566" s="7">
        <f>INDEX(products!$A$1:$G$49,MATCH(orders!$D566,products!$A$1:$A$49,0),MATCH(orders!L$1,products!$A$1:$G$1,0))</f>
        <v>7.169999999999999</v>
      </c>
      <c r="M566" s="7">
        <f t="shared" si="24"/>
        <v>14.339999999999998</v>
      </c>
      <c r="N566" t="str">
        <f t="shared" si="25"/>
        <v>Robusta</v>
      </c>
      <c r="O566" t="str">
        <f t="shared" si="26"/>
        <v>Light</v>
      </c>
      <c r="P566" t="str">
        <f>_xlfn.XLOOKUP(Table1[[#This Row],[Customer ID]],customers!$A$1:$A$1001,customers!$I$1:$I$1001,,0)</f>
        <v>No</v>
      </c>
    </row>
    <row r="567" spans="1:16" x14ac:dyDescent="0.2">
      <c r="A567" s="2" t="s">
        <v>3683</v>
      </c>
      <c r="B567" s="3">
        <v>44031</v>
      </c>
      <c r="C567" s="2" t="s">
        <v>3684</v>
      </c>
      <c r="D567" t="s">
        <v>6149</v>
      </c>
      <c r="E567" s="2">
        <v>4</v>
      </c>
      <c r="F567" s="2" t="str">
        <f>_xlfn.XLOOKUP(C567,customers!$A566:$A1566,customers!$B566:$B1566,,0)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5">
        <f>INDEX(products!$A$1:$G$49,MATCH(orders!$D567,products!$A$1:$A$49,0),MATCH(orders!K$1,products!$A$1:$G$1,0))</f>
        <v>2.5</v>
      </c>
      <c r="L567" s="7">
        <f>INDEX(products!$A$1:$G$49,MATCH(orders!$D567,products!$A$1:$A$49,0),MATCH(orders!L$1,products!$A$1:$G$1,0))</f>
        <v>20.584999999999997</v>
      </c>
      <c r="M567" s="7">
        <f t="shared" si="24"/>
        <v>82.339999999999989</v>
      </c>
      <c r="N567" t="str">
        <f t="shared" si="25"/>
        <v>Robusta</v>
      </c>
      <c r="O567" t="str">
        <f t="shared" si="26"/>
        <v>Dark</v>
      </c>
      <c r="P567" t="str">
        <f>_xlfn.XLOOKUP(Table1[[#This Row],[Customer ID]],customers!$A$1:$A$1001,customers!$I$1:$I$1001,,0)</f>
        <v>No</v>
      </c>
    </row>
    <row r="568" spans="1:16" x14ac:dyDescent="0.2">
      <c r="A568" s="2" t="s">
        <v>3689</v>
      </c>
      <c r="B568" s="3">
        <v>44459</v>
      </c>
      <c r="C568" s="2" t="s">
        <v>3690</v>
      </c>
      <c r="D568" t="s">
        <v>6152</v>
      </c>
      <c r="E568" s="2">
        <v>6</v>
      </c>
      <c r="F568" s="2" t="str">
        <f>_xlfn.XLOOKUP(C568,customers!$A567:$A1567,customers!$B567:$B1567,,0)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5">
        <f>INDEX(products!$A$1:$G$49,MATCH(orders!$D568,products!$A$1:$A$49,0),MATCH(orders!K$1,products!$A$1:$G$1,0))</f>
        <v>0.2</v>
      </c>
      <c r="L568" s="7">
        <f>INDEX(products!$A$1:$G$49,MATCH(orders!$D568,products!$A$1:$A$49,0),MATCH(orders!L$1,products!$A$1:$G$1,0))</f>
        <v>3.375</v>
      </c>
      <c r="M568" s="7">
        <f t="shared" si="24"/>
        <v>20.25</v>
      </c>
      <c r="N568" t="str">
        <f t="shared" si="25"/>
        <v>Arabica</v>
      </c>
      <c r="O568" t="str">
        <f t="shared" si="26"/>
        <v>Medium</v>
      </c>
      <c r="P568" t="str">
        <f>_xlfn.XLOOKUP(Table1[[#This Row],[Customer ID]],customers!$A$1:$A$1001,customers!$I$1:$I$1001,,0)</f>
        <v>Yes</v>
      </c>
    </row>
    <row r="569" spans="1:16" x14ac:dyDescent="0.2">
      <c r="A569" s="2" t="s">
        <v>3695</v>
      </c>
      <c r="B569" s="3">
        <v>44318</v>
      </c>
      <c r="C569" s="2" t="s">
        <v>3696</v>
      </c>
      <c r="D569" t="s">
        <v>6142</v>
      </c>
      <c r="E569" s="2">
        <v>6</v>
      </c>
      <c r="F569" s="2" t="str">
        <f>_xlfn.XLOOKUP(C569,customers!$A568:$A1568,customers!$B568:$B1568,,0)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5">
        <f>INDEX(products!$A$1:$G$49,MATCH(orders!$D569,products!$A$1:$A$49,0),MATCH(orders!K$1,products!$A$1:$G$1,0))</f>
        <v>2.5</v>
      </c>
      <c r="L569" s="7">
        <f>INDEX(products!$A$1:$G$49,MATCH(orders!$D569,products!$A$1:$A$49,0),MATCH(orders!L$1,products!$A$1:$G$1,0))</f>
        <v>27.484999999999996</v>
      </c>
      <c r="M569" s="7">
        <f t="shared" si="24"/>
        <v>164.90999999999997</v>
      </c>
      <c r="N569" t="str">
        <f t="shared" si="25"/>
        <v>Robusta</v>
      </c>
      <c r="O569" t="str">
        <f t="shared" si="26"/>
        <v>Light</v>
      </c>
      <c r="P569" t="str">
        <f>_xlfn.XLOOKUP(Table1[[#This Row],[Customer ID]],customers!$A$1:$A$1001,customers!$I$1:$I$1001,,0)</f>
        <v>No</v>
      </c>
    </row>
    <row r="570" spans="1:16" x14ac:dyDescent="0.2">
      <c r="A570" s="2" t="s">
        <v>3700</v>
      </c>
      <c r="B570" s="3">
        <v>44526</v>
      </c>
      <c r="C570" s="2" t="s">
        <v>3701</v>
      </c>
      <c r="D570" t="s">
        <v>6145</v>
      </c>
      <c r="E570" s="2">
        <v>4</v>
      </c>
      <c r="F570" s="2" t="str">
        <f>_xlfn.XLOOKUP(C570,customers!$A569:$A1569,customers!$B569:$B1569,,0)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5">
        <f>INDEX(products!$A$1:$G$49,MATCH(orders!$D570,products!$A$1:$A$49,0),MATCH(orders!K$1,products!$A$1:$G$1,0))</f>
        <v>0.2</v>
      </c>
      <c r="L570" s="7">
        <f>INDEX(products!$A$1:$G$49,MATCH(orders!$D570,products!$A$1:$A$49,0),MATCH(orders!L$1,products!$A$1:$G$1,0))</f>
        <v>4.7549999999999999</v>
      </c>
      <c r="M570" s="7">
        <f t="shared" si="24"/>
        <v>19.02</v>
      </c>
      <c r="N570" t="str">
        <f t="shared" si="25"/>
        <v>Liberica</v>
      </c>
      <c r="O570" t="str">
        <f t="shared" si="26"/>
        <v>Light</v>
      </c>
      <c r="P570" t="str">
        <f>_xlfn.XLOOKUP(Table1[[#This Row],[Customer ID]],customers!$A$1:$A$1001,customers!$I$1:$I$1001,,0)</f>
        <v>Yes</v>
      </c>
    </row>
    <row r="571" spans="1:16" x14ac:dyDescent="0.2">
      <c r="A571" s="2" t="s">
        <v>3706</v>
      </c>
      <c r="B571" s="3">
        <v>43879</v>
      </c>
      <c r="C571" s="2" t="s">
        <v>3752</v>
      </c>
      <c r="D571" t="s">
        <v>6168</v>
      </c>
      <c r="E571" s="2">
        <v>6</v>
      </c>
      <c r="F571" s="2" t="str">
        <f>_xlfn.XLOOKUP(C571,customers!$A570:$A1570,customers!$B570:$B1570,,0)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5">
        <f>INDEX(products!$A$1:$G$49,MATCH(orders!$D571,products!$A$1:$A$49,0),MATCH(orders!K$1,products!$A$1:$G$1,0))</f>
        <v>2.5</v>
      </c>
      <c r="L571" s="7">
        <f>INDEX(products!$A$1:$G$49,MATCH(orders!$D571,products!$A$1:$A$49,0),MATCH(orders!L$1,products!$A$1:$G$1,0))</f>
        <v>22.884999999999998</v>
      </c>
      <c r="M571" s="7">
        <f t="shared" si="24"/>
        <v>137.31</v>
      </c>
      <c r="N571" t="str">
        <f t="shared" si="25"/>
        <v>Arabica</v>
      </c>
      <c r="O571" t="str">
        <f t="shared" si="26"/>
        <v>Dark</v>
      </c>
      <c r="P571" t="str">
        <f>_xlfn.XLOOKUP(Table1[[#This Row],[Customer ID]],customers!$A$1:$A$1001,customers!$I$1:$I$1001,,0)</f>
        <v>No</v>
      </c>
    </row>
    <row r="572" spans="1:16" x14ac:dyDescent="0.2">
      <c r="A572" s="2" t="s">
        <v>3712</v>
      </c>
      <c r="B572" s="3">
        <v>43928</v>
      </c>
      <c r="C572" s="2" t="s">
        <v>3713</v>
      </c>
      <c r="D572" t="s">
        <v>6157</v>
      </c>
      <c r="E572" s="2">
        <v>4</v>
      </c>
      <c r="F572" s="2" t="str">
        <f>_xlfn.XLOOKUP(C572,customers!$A571:$A1571,customers!$B571:$B1571,,0)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5">
        <f>INDEX(products!$A$1:$G$49,MATCH(orders!$D572,products!$A$1:$A$49,0),MATCH(orders!K$1,products!$A$1:$G$1,0))</f>
        <v>0.5</v>
      </c>
      <c r="L572" s="7">
        <f>INDEX(products!$A$1:$G$49,MATCH(orders!$D572,products!$A$1:$A$49,0),MATCH(orders!L$1,products!$A$1:$G$1,0))</f>
        <v>6.75</v>
      </c>
      <c r="M572" s="7">
        <f t="shared" si="24"/>
        <v>27</v>
      </c>
      <c r="N572" t="str">
        <f t="shared" si="25"/>
        <v>Arabica</v>
      </c>
      <c r="O572" t="str">
        <f t="shared" si="26"/>
        <v>Medium</v>
      </c>
      <c r="P572" t="str">
        <f>_xlfn.XLOOKUP(Table1[[#This Row],[Customer ID]],customers!$A$1:$A$1001,customers!$I$1:$I$1001,,0)</f>
        <v>No</v>
      </c>
    </row>
    <row r="573" spans="1:16" x14ac:dyDescent="0.2">
      <c r="A573" s="2" t="s">
        <v>3718</v>
      </c>
      <c r="B573" s="3">
        <v>44592</v>
      </c>
      <c r="C573" s="2" t="s">
        <v>3719</v>
      </c>
      <c r="D573" t="s">
        <v>6176</v>
      </c>
      <c r="E573" s="2">
        <v>4</v>
      </c>
      <c r="F573" s="2" t="str">
        <f>_xlfn.XLOOKUP(C573,customers!$A572:$A1572,customers!$B572:$B1572,,0)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5">
        <f>INDEX(products!$A$1:$G$49,MATCH(orders!$D573,products!$A$1:$A$49,0),MATCH(orders!K$1,products!$A$1:$G$1,0))</f>
        <v>0.5</v>
      </c>
      <c r="L573" s="7">
        <f>INDEX(products!$A$1:$G$49,MATCH(orders!$D573,products!$A$1:$A$49,0),MATCH(orders!L$1,products!$A$1:$G$1,0))</f>
        <v>8.91</v>
      </c>
      <c r="M573" s="7">
        <f t="shared" si="24"/>
        <v>35.64</v>
      </c>
      <c r="N573" t="str">
        <f t="shared" si="25"/>
        <v>Excelsa</v>
      </c>
      <c r="O573" t="str">
        <f t="shared" si="26"/>
        <v>Light</v>
      </c>
      <c r="P573" t="str">
        <f>_xlfn.XLOOKUP(Table1[[#This Row],[Customer ID]],customers!$A$1:$A$1001,customers!$I$1:$I$1001,,0)</f>
        <v>No</v>
      </c>
    </row>
    <row r="574" spans="1:16" x14ac:dyDescent="0.2">
      <c r="A574" s="2" t="s">
        <v>3724</v>
      </c>
      <c r="B574" s="3">
        <v>43515</v>
      </c>
      <c r="C574" s="2" t="s">
        <v>3725</v>
      </c>
      <c r="D574" t="s">
        <v>6154</v>
      </c>
      <c r="E574" s="2">
        <v>2</v>
      </c>
      <c r="F574" s="2" t="str">
        <f>_xlfn.XLOOKUP(C574,customers!$A573:$A1573,customers!$B573:$B1573,,0)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5">
        <f>INDEX(products!$A$1:$G$49,MATCH(orders!$D574,products!$A$1:$A$49,0),MATCH(orders!K$1,products!$A$1:$G$1,0))</f>
        <v>0.2</v>
      </c>
      <c r="L574" s="7">
        <f>INDEX(products!$A$1:$G$49,MATCH(orders!$D574,products!$A$1:$A$49,0),MATCH(orders!L$1,products!$A$1:$G$1,0))</f>
        <v>2.9849999999999999</v>
      </c>
      <c r="M574" s="7">
        <f t="shared" si="24"/>
        <v>5.97</v>
      </c>
      <c r="N574" t="str">
        <f t="shared" si="25"/>
        <v>Arabica</v>
      </c>
      <c r="O574" t="str">
        <f t="shared" si="26"/>
        <v>Dark</v>
      </c>
      <c r="P574" t="str">
        <f>_xlfn.XLOOKUP(Table1[[#This Row],[Customer ID]],customers!$A$1:$A$1001,customers!$I$1:$I$1001,,0)</f>
        <v>Yes</v>
      </c>
    </row>
    <row r="575" spans="1:16" x14ac:dyDescent="0.2">
      <c r="A575" s="2" t="s">
        <v>3728</v>
      </c>
      <c r="B575" s="3">
        <v>43781</v>
      </c>
      <c r="C575" s="2" t="s">
        <v>3729</v>
      </c>
      <c r="D575" t="s">
        <v>6155</v>
      </c>
      <c r="E575" s="2">
        <v>6</v>
      </c>
      <c r="F575" s="2" t="str">
        <f>_xlfn.XLOOKUP(C575,customers!$A574:$A1574,customers!$B574:$B1574,,0)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5">
        <f>INDEX(products!$A$1:$G$49,MATCH(orders!$D575,products!$A$1:$A$49,0),MATCH(orders!K$1,products!$A$1:$G$1,0))</f>
        <v>1</v>
      </c>
      <c r="L575" s="7">
        <f>INDEX(products!$A$1:$G$49,MATCH(orders!$D575,products!$A$1:$A$49,0),MATCH(orders!L$1,products!$A$1:$G$1,0))</f>
        <v>11.25</v>
      </c>
      <c r="M575" s="7">
        <f t="shared" si="24"/>
        <v>67.5</v>
      </c>
      <c r="N575" t="str">
        <f t="shared" si="25"/>
        <v>Arabica</v>
      </c>
      <c r="O575" t="str">
        <f t="shared" si="26"/>
        <v>Medium</v>
      </c>
      <c r="P575" t="str">
        <f>_xlfn.XLOOKUP(Table1[[#This Row],[Customer ID]],customers!$A$1:$A$1001,customers!$I$1:$I$1001,,0)</f>
        <v>No</v>
      </c>
    </row>
    <row r="576" spans="1:16" x14ac:dyDescent="0.2">
      <c r="A576" s="2" t="s">
        <v>3734</v>
      </c>
      <c r="B576" s="3">
        <v>44697</v>
      </c>
      <c r="C576" s="2" t="s">
        <v>3735</v>
      </c>
      <c r="D576" t="s">
        <v>6178</v>
      </c>
      <c r="E576" s="2">
        <v>6</v>
      </c>
      <c r="F576" s="2" t="str">
        <f>_xlfn.XLOOKUP(C576,customers!$A575:$A1575,customers!$B575:$B1575,,0)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5">
        <f>INDEX(products!$A$1:$G$49,MATCH(orders!$D576,products!$A$1:$A$49,0),MATCH(orders!K$1,products!$A$1:$G$1,0))</f>
        <v>0.2</v>
      </c>
      <c r="L576" s="7">
        <f>INDEX(products!$A$1:$G$49,MATCH(orders!$D576,products!$A$1:$A$49,0),MATCH(orders!L$1,products!$A$1:$G$1,0))</f>
        <v>3.5849999999999995</v>
      </c>
      <c r="M576" s="7">
        <f t="shared" si="24"/>
        <v>21.509999999999998</v>
      </c>
      <c r="N576" t="str">
        <f t="shared" si="25"/>
        <v>Robusta</v>
      </c>
      <c r="O576" t="str">
        <f t="shared" si="26"/>
        <v>Light</v>
      </c>
      <c r="P576" t="str">
        <f>_xlfn.XLOOKUP(Table1[[#This Row],[Customer ID]],customers!$A$1:$A$1001,customers!$I$1:$I$1001,,0)</f>
        <v>Yes</v>
      </c>
    </row>
    <row r="577" spans="1:16" x14ac:dyDescent="0.2">
      <c r="A577" s="2" t="s">
        <v>3739</v>
      </c>
      <c r="B577" s="3">
        <v>44239</v>
      </c>
      <c r="C577" s="2" t="s">
        <v>3740</v>
      </c>
      <c r="D577" t="s">
        <v>6181</v>
      </c>
      <c r="E577" s="2">
        <v>2</v>
      </c>
      <c r="F577" s="2" t="str">
        <f>_xlfn.XLOOKUP(C577,customers!$A576:$A1576,customers!$B576:$B1576,,0)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5">
        <f>INDEX(products!$A$1:$G$49,MATCH(orders!$D577,products!$A$1:$A$49,0),MATCH(orders!K$1,products!$A$1:$G$1,0))</f>
        <v>2.5</v>
      </c>
      <c r="L577" s="7">
        <f>INDEX(products!$A$1:$G$49,MATCH(orders!$D577,products!$A$1:$A$49,0),MATCH(orders!L$1,products!$A$1:$G$1,0))</f>
        <v>33.464999999999996</v>
      </c>
      <c r="M577" s="7">
        <f t="shared" si="24"/>
        <v>66.929999999999993</v>
      </c>
      <c r="N577" t="str">
        <f t="shared" si="25"/>
        <v>Liberica</v>
      </c>
      <c r="O577" t="str">
        <f t="shared" si="26"/>
        <v>Medium</v>
      </c>
      <c r="P577" t="str">
        <f>_xlfn.XLOOKUP(Table1[[#This Row],[Customer ID]],customers!$A$1:$A$1001,customers!$I$1:$I$1001,,0)</f>
        <v>No</v>
      </c>
    </row>
    <row r="578" spans="1:16" x14ac:dyDescent="0.2">
      <c r="A578" s="2" t="s">
        <v>3745</v>
      </c>
      <c r="B578" s="3">
        <v>44290</v>
      </c>
      <c r="C578" s="2" t="s">
        <v>3746</v>
      </c>
      <c r="D578" t="s">
        <v>6154</v>
      </c>
      <c r="E578" s="2">
        <v>6</v>
      </c>
      <c r="F578" s="2" t="str">
        <f>_xlfn.XLOOKUP(C578,customers!$A577:$A1577,customers!$B577:$B1577,,0)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5">
        <f>INDEX(products!$A$1:$G$49,MATCH(orders!$D578,products!$A$1:$A$49,0),MATCH(orders!K$1,products!$A$1:$G$1,0))</f>
        <v>0.2</v>
      </c>
      <c r="L578" s="7">
        <f>INDEX(products!$A$1:$G$49,MATCH(orders!$D578,products!$A$1:$A$49,0),MATCH(orders!L$1,products!$A$1:$G$1,0))</f>
        <v>2.9849999999999999</v>
      </c>
      <c r="M578" s="7">
        <f t="shared" si="24"/>
        <v>17.91</v>
      </c>
      <c r="N578" t="str">
        <f t="shared" si="25"/>
        <v>Arabica</v>
      </c>
      <c r="O578" t="str">
        <f t="shared" si="26"/>
        <v>Dark</v>
      </c>
      <c r="P578" t="str">
        <f>_xlfn.XLOOKUP(Table1[[#This Row],[Customer ID]],customers!$A$1:$A$1001,customers!$I$1:$I$1001,,0)</f>
        <v>No</v>
      </c>
    </row>
    <row r="579" spans="1:16" x14ac:dyDescent="0.2">
      <c r="A579" s="2" t="s">
        <v>3751</v>
      </c>
      <c r="B579" s="3">
        <v>44410</v>
      </c>
      <c r="C579" s="2" t="s">
        <v>3752</v>
      </c>
      <c r="D579" t="s">
        <v>6162</v>
      </c>
      <c r="E579" s="2">
        <v>4</v>
      </c>
      <c r="F579" s="2" t="str">
        <f>_xlfn.XLOOKUP(C579,customers!$A578:$A1578,customers!$B578:$B1578,,0)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5">
        <f>INDEX(products!$A$1:$G$49,MATCH(orders!$D579,products!$A$1:$A$49,0),MATCH(orders!K$1,products!$A$1:$G$1,0))</f>
        <v>1</v>
      </c>
      <c r="L579" s="7">
        <f>INDEX(products!$A$1:$G$49,MATCH(orders!$D579,products!$A$1:$A$49,0),MATCH(orders!L$1,products!$A$1:$G$1,0))</f>
        <v>14.55</v>
      </c>
      <c r="M579" s="7">
        <f t="shared" ref="M579:M642" si="27">L579*E579</f>
        <v>58.2</v>
      </c>
      <c r="N579" t="str">
        <f t="shared" ref="N579:N642" si="28">IF(I579="Rob","Robusta",IF(I579="Ara","Arabica",IF(I579="Exc","Excelsa",IF(I579="Lib","Liberica",""))))</f>
        <v>Liberica</v>
      </c>
      <c r="O579" t="str">
        <f t="shared" ref="O579:O642" si="29">IF(J579="M","Medium",IF(J579="L","Light",IF(J579="D","Dark","")))</f>
        <v>Medium</v>
      </c>
      <c r="P579" t="str">
        <f>_xlfn.XLOOKUP(Table1[[#This Row],[Customer ID]],customers!$A$1:$A$1001,customers!$I$1:$I$1001,,0)</f>
        <v>No</v>
      </c>
    </row>
    <row r="580" spans="1:16" x14ac:dyDescent="0.2">
      <c r="A580" s="2" t="s">
        <v>3756</v>
      </c>
      <c r="B580" s="3">
        <v>44720</v>
      </c>
      <c r="C580" s="2" t="s">
        <v>3757</v>
      </c>
      <c r="D580" t="s">
        <v>6184</v>
      </c>
      <c r="E580" s="2">
        <v>3</v>
      </c>
      <c r="F580" s="2" t="str">
        <f>_xlfn.XLOOKUP(C580,customers!$A579:$A1579,customers!$B579:$B1579,,0)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5">
        <f>INDEX(products!$A$1:$G$49,MATCH(orders!$D580,products!$A$1:$A$49,0),MATCH(orders!K$1,products!$A$1:$G$1,0))</f>
        <v>0.2</v>
      </c>
      <c r="L580" s="7">
        <f>INDEX(products!$A$1:$G$49,MATCH(orders!$D580,products!$A$1:$A$49,0),MATCH(orders!L$1,products!$A$1:$G$1,0))</f>
        <v>4.4550000000000001</v>
      </c>
      <c r="M580" s="7">
        <f t="shared" si="27"/>
        <v>13.365</v>
      </c>
      <c r="N580" t="str">
        <f t="shared" si="28"/>
        <v>Excelsa</v>
      </c>
      <c r="O580" t="str">
        <f t="shared" si="29"/>
        <v>Light</v>
      </c>
      <c r="P580" t="str">
        <f>_xlfn.XLOOKUP(Table1[[#This Row],[Customer ID]],customers!$A$1:$A$1001,customers!$I$1:$I$1001,,0)</f>
        <v>No</v>
      </c>
    </row>
    <row r="581" spans="1:16" x14ac:dyDescent="0.2">
      <c r="A581" s="2" t="s">
        <v>3756</v>
      </c>
      <c r="B581" s="3">
        <v>44720</v>
      </c>
      <c r="C581" s="2" t="s">
        <v>3757</v>
      </c>
      <c r="D581" t="s">
        <v>6157</v>
      </c>
      <c r="E581" s="2">
        <v>5</v>
      </c>
      <c r="F581" s="2" t="str">
        <f>_xlfn.XLOOKUP(C581,customers!$A580:$A1580,customers!$B580:$B1580,,0)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5">
        <f>INDEX(products!$A$1:$G$49,MATCH(orders!$D581,products!$A$1:$A$49,0),MATCH(orders!K$1,products!$A$1:$G$1,0))</f>
        <v>0.5</v>
      </c>
      <c r="L581" s="7">
        <f>INDEX(products!$A$1:$G$49,MATCH(orders!$D581,products!$A$1:$A$49,0),MATCH(orders!L$1,products!$A$1:$G$1,0))</f>
        <v>6.75</v>
      </c>
      <c r="M581" s="7">
        <f t="shared" si="27"/>
        <v>33.75</v>
      </c>
      <c r="N581" t="str">
        <f t="shared" si="28"/>
        <v>Arabica</v>
      </c>
      <c r="O581" t="str">
        <f t="shared" si="29"/>
        <v>Medium</v>
      </c>
      <c r="P581" t="str">
        <f>_xlfn.XLOOKUP(Table1[[#This Row],[Customer ID]],customers!$A$1:$A$1001,customers!$I$1:$I$1001,,0)</f>
        <v>No</v>
      </c>
    </row>
    <row r="582" spans="1:16" x14ac:dyDescent="0.2">
      <c r="A582" s="2" t="s">
        <v>3767</v>
      </c>
      <c r="B582" s="3">
        <v>43965</v>
      </c>
      <c r="C582" s="2" t="s">
        <v>3768</v>
      </c>
      <c r="D582" t="s">
        <v>6171</v>
      </c>
      <c r="E582" s="2">
        <v>3</v>
      </c>
      <c r="F582" s="2" t="str">
        <f>_xlfn.XLOOKUP(C582,customers!$A581:$A1581,customers!$B581:$B1581,,0)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5">
        <f>INDEX(products!$A$1:$G$49,MATCH(orders!$D582,products!$A$1:$A$49,0),MATCH(orders!K$1,products!$A$1:$G$1,0))</f>
        <v>1</v>
      </c>
      <c r="L582" s="7">
        <f>INDEX(products!$A$1:$G$49,MATCH(orders!$D582,products!$A$1:$A$49,0),MATCH(orders!L$1,products!$A$1:$G$1,0))</f>
        <v>14.85</v>
      </c>
      <c r="M582" s="7">
        <f t="shared" si="27"/>
        <v>44.55</v>
      </c>
      <c r="N582" t="str">
        <f t="shared" si="28"/>
        <v>Excelsa</v>
      </c>
      <c r="O582" t="str">
        <f t="shared" si="29"/>
        <v>Light</v>
      </c>
      <c r="P582" t="str">
        <f>_xlfn.XLOOKUP(Table1[[#This Row],[Customer ID]],customers!$A$1:$A$1001,customers!$I$1:$I$1001,,0)</f>
        <v>Yes</v>
      </c>
    </row>
    <row r="583" spans="1:16" x14ac:dyDescent="0.2">
      <c r="A583" s="2" t="s">
        <v>3773</v>
      </c>
      <c r="B583" s="3">
        <v>44190</v>
      </c>
      <c r="C583" s="2" t="s">
        <v>3774</v>
      </c>
      <c r="D583" t="s">
        <v>6176</v>
      </c>
      <c r="E583" s="2">
        <v>5</v>
      </c>
      <c r="F583" s="2" t="str">
        <f>_xlfn.XLOOKUP(C583,customers!$A582:$A1582,customers!$B582:$B1582,,0)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5">
        <f>INDEX(products!$A$1:$G$49,MATCH(orders!$D583,products!$A$1:$A$49,0),MATCH(orders!K$1,products!$A$1:$G$1,0))</f>
        <v>0.5</v>
      </c>
      <c r="L583" s="7">
        <f>INDEX(products!$A$1:$G$49,MATCH(orders!$D583,products!$A$1:$A$49,0),MATCH(orders!L$1,products!$A$1:$G$1,0))</f>
        <v>8.91</v>
      </c>
      <c r="M583" s="7">
        <f t="shared" si="27"/>
        <v>44.55</v>
      </c>
      <c r="N583" t="str">
        <f t="shared" si="28"/>
        <v>Excelsa</v>
      </c>
      <c r="O583" t="str">
        <f t="shared" si="29"/>
        <v>Light</v>
      </c>
      <c r="P583" t="str">
        <f>_xlfn.XLOOKUP(Table1[[#This Row],[Customer ID]],customers!$A$1:$A$1001,customers!$I$1:$I$1001,,0)</f>
        <v>Yes</v>
      </c>
    </row>
    <row r="584" spans="1:16" x14ac:dyDescent="0.2">
      <c r="A584" s="2" t="s">
        <v>3778</v>
      </c>
      <c r="B584" s="3">
        <v>44382</v>
      </c>
      <c r="C584" s="2" t="s">
        <v>3779</v>
      </c>
      <c r="D584" t="s">
        <v>6183</v>
      </c>
      <c r="E584" s="2">
        <v>5</v>
      </c>
      <c r="F584" s="2" t="str">
        <f>_xlfn.XLOOKUP(C584,customers!$A583:$A1583,customers!$B583:$B1583,,0)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5">
        <f>INDEX(products!$A$1:$G$49,MATCH(orders!$D584,products!$A$1:$A$49,0),MATCH(orders!K$1,products!$A$1:$G$1,0))</f>
        <v>1</v>
      </c>
      <c r="L584" s="7">
        <f>INDEX(products!$A$1:$G$49,MATCH(orders!$D584,products!$A$1:$A$49,0),MATCH(orders!L$1,products!$A$1:$G$1,0))</f>
        <v>12.15</v>
      </c>
      <c r="M584" s="7">
        <f t="shared" si="27"/>
        <v>60.75</v>
      </c>
      <c r="N584" t="str">
        <f t="shared" si="28"/>
        <v>Excelsa</v>
      </c>
      <c r="O584" t="str">
        <f t="shared" si="29"/>
        <v>Dark</v>
      </c>
      <c r="P584" t="str">
        <f>_xlfn.XLOOKUP(Table1[[#This Row],[Customer ID]],customers!$A$1:$A$1001,customers!$I$1:$I$1001,,0)</f>
        <v>No</v>
      </c>
    </row>
    <row r="585" spans="1:16" x14ac:dyDescent="0.2">
      <c r="A585" s="2" t="s">
        <v>3784</v>
      </c>
      <c r="B585" s="3">
        <v>43538</v>
      </c>
      <c r="C585" s="2" t="s">
        <v>3785</v>
      </c>
      <c r="D585" t="s">
        <v>6178</v>
      </c>
      <c r="E585" s="2">
        <v>1</v>
      </c>
      <c r="F585" s="2" t="str">
        <f>_xlfn.XLOOKUP(C585,customers!$A584:$A1584,customers!$B584:$B1584,,0)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5">
        <f>INDEX(products!$A$1:$G$49,MATCH(orders!$D585,products!$A$1:$A$49,0),MATCH(orders!K$1,products!$A$1:$G$1,0))</f>
        <v>0.2</v>
      </c>
      <c r="L585" s="7">
        <f>INDEX(products!$A$1:$G$49,MATCH(orders!$D585,products!$A$1:$A$49,0),MATCH(orders!L$1,products!$A$1:$G$1,0))</f>
        <v>3.5849999999999995</v>
      </c>
      <c r="M585" s="7">
        <f t="shared" si="27"/>
        <v>3.5849999999999995</v>
      </c>
      <c r="N585" t="str">
        <f t="shared" si="28"/>
        <v>Robusta</v>
      </c>
      <c r="O585" t="str">
        <f t="shared" si="29"/>
        <v>Light</v>
      </c>
      <c r="P585" t="str">
        <f>_xlfn.XLOOKUP(Table1[[#This Row],[Customer ID]],customers!$A$1:$A$1001,customers!$I$1:$I$1001,,0)</f>
        <v>Yes</v>
      </c>
    </row>
    <row r="586" spans="1:16" x14ac:dyDescent="0.2">
      <c r="A586" s="2" t="s">
        <v>3790</v>
      </c>
      <c r="B586" s="3">
        <v>44262</v>
      </c>
      <c r="C586" s="2" t="s">
        <v>3791</v>
      </c>
      <c r="D586" t="s">
        <v>6178</v>
      </c>
      <c r="E586" s="2">
        <v>6</v>
      </c>
      <c r="F586" s="2" t="str">
        <f>_xlfn.XLOOKUP(C586,customers!$A585:$A1585,customers!$B585:$B1585,,0)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5">
        <f>INDEX(products!$A$1:$G$49,MATCH(orders!$D586,products!$A$1:$A$49,0),MATCH(orders!K$1,products!$A$1:$G$1,0))</f>
        <v>0.2</v>
      </c>
      <c r="L586" s="7">
        <f>INDEX(products!$A$1:$G$49,MATCH(orders!$D586,products!$A$1:$A$49,0),MATCH(orders!L$1,products!$A$1:$G$1,0))</f>
        <v>3.5849999999999995</v>
      </c>
      <c r="M586" s="7">
        <f t="shared" si="27"/>
        <v>21.509999999999998</v>
      </c>
      <c r="N586" t="str">
        <f t="shared" si="28"/>
        <v>Robusta</v>
      </c>
      <c r="O586" t="str">
        <f t="shared" si="29"/>
        <v>Light</v>
      </c>
      <c r="P586" t="str">
        <f>_xlfn.XLOOKUP(Table1[[#This Row],[Customer ID]],customers!$A$1:$A$1001,customers!$I$1:$I$1001,,0)</f>
        <v>No</v>
      </c>
    </row>
    <row r="587" spans="1:16" x14ac:dyDescent="0.2">
      <c r="A587" s="2" t="s">
        <v>3796</v>
      </c>
      <c r="B587" s="3">
        <v>44505</v>
      </c>
      <c r="C587" s="2" t="s">
        <v>3840</v>
      </c>
      <c r="D587" t="s">
        <v>6139</v>
      </c>
      <c r="E587" s="2">
        <v>2</v>
      </c>
      <c r="F587" s="2" t="str">
        <f>_xlfn.XLOOKUP(C587,customers!$A586:$A1586,customers!$B586:$B1586,,0)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5">
        <f>INDEX(products!$A$1:$G$49,MATCH(orders!$D587,products!$A$1:$A$49,0),MATCH(orders!K$1,products!$A$1:$G$1,0))</f>
        <v>0.5</v>
      </c>
      <c r="L587" s="7">
        <f>INDEX(products!$A$1:$G$49,MATCH(orders!$D587,products!$A$1:$A$49,0),MATCH(orders!L$1,products!$A$1:$G$1,0))</f>
        <v>8.25</v>
      </c>
      <c r="M587" s="7">
        <f t="shared" si="27"/>
        <v>16.5</v>
      </c>
      <c r="N587" t="str">
        <f t="shared" si="28"/>
        <v>Excelsa</v>
      </c>
      <c r="O587" t="str">
        <f t="shared" si="29"/>
        <v>Medium</v>
      </c>
      <c r="P587" t="str">
        <f>_xlfn.XLOOKUP(Table1[[#This Row],[Customer ID]],customers!$A$1:$A$1001,customers!$I$1:$I$1001,,0)</f>
        <v>Yes</v>
      </c>
    </row>
    <row r="588" spans="1:16" x14ac:dyDescent="0.2">
      <c r="A588" s="2" t="s">
        <v>3802</v>
      </c>
      <c r="B588" s="3">
        <v>43867</v>
      </c>
      <c r="C588" s="2" t="s">
        <v>3803</v>
      </c>
      <c r="D588" t="s">
        <v>6142</v>
      </c>
      <c r="E588" s="2">
        <v>3</v>
      </c>
      <c r="F588" s="2" t="str">
        <f>_xlfn.XLOOKUP(C588,customers!$A587:$A1587,customers!$B587:$B1587,,0)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5">
        <f>INDEX(products!$A$1:$G$49,MATCH(orders!$D588,products!$A$1:$A$49,0),MATCH(orders!K$1,products!$A$1:$G$1,0))</f>
        <v>2.5</v>
      </c>
      <c r="L588" s="7">
        <f>INDEX(products!$A$1:$G$49,MATCH(orders!$D588,products!$A$1:$A$49,0),MATCH(orders!L$1,products!$A$1:$G$1,0))</f>
        <v>27.484999999999996</v>
      </c>
      <c r="M588" s="7">
        <f t="shared" si="27"/>
        <v>82.454999999999984</v>
      </c>
      <c r="N588" t="str">
        <f t="shared" si="28"/>
        <v>Robusta</v>
      </c>
      <c r="O588" t="str">
        <f t="shared" si="29"/>
        <v>Light</v>
      </c>
      <c r="P588" t="str">
        <f>_xlfn.XLOOKUP(Table1[[#This Row],[Customer ID]],customers!$A$1:$A$1001,customers!$I$1:$I$1001,,0)</f>
        <v>No</v>
      </c>
    </row>
    <row r="589" spans="1:16" x14ac:dyDescent="0.2">
      <c r="A589" s="2" t="s">
        <v>3807</v>
      </c>
      <c r="B589" s="3">
        <v>44267</v>
      </c>
      <c r="C589" s="2" t="s">
        <v>3808</v>
      </c>
      <c r="D589" t="s">
        <v>6169</v>
      </c>
      <c r="E589" s="2">
        <v>1</v>
      </c>
      <c r="F589" s="2" t="str">
        <f>_xlfn.XLOOKUP(C589,customers!$A588:$A1588,customers!$B588:$B1588,,0)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5">
        <f>INDEX(products!$A$1:$G$49,MATCH(orders!$D589,products!$A$1:$A$49,0),MATCH(orders!K$1,products!$A$1:$G$1,0))</f>
        <v>0.5</v>
      </c>
      <c r="L589" s="7">
        <f>INDEX(products!$A$1:$G$49,MATCH(orders!$D589,products!$A$1:$A$49,0),MATCH(orders!L$1,products!$A$1:$G$1,0))</f>
        <v>7.77</v>
      </c>
      <c r="M589" s="7">
        <f t="shared" si="27"/>
        <v>7.77</v>
      </c>
      <c r="N589" t="str">
        <f t="shared" si="28"/>
        <v>Liberica</v>
      </c>
      <c r="O589" t="str">
        <f t="shared" si="29"/>
        <v>Dark</v>
      </c>
      <c r="P589" t="str">
        <f>_xlfn.XLOOKUP(Table1[[#This Row],[Customer ID]],customers!$A$1:$A$1001,customers!$I$1:$I$1001,,0)</f>
        <v>Yes</v>
      </c>
    </row>
    <row r="590" spans="1:16" x14ac:dyDescent="0.2">
      <c r="A590" s="2" t="s">
        <v>3812</v>
      </c>
      <c r="B590" s="3">
        <v>44046</v>
      </c>
      <c r="C590" s="2" t="s">
        <v>3813</v>
      </c>
      <c r="D590" t="s">
        <v>6146</v>
      </c>
      <c r="E590" s="2">
        <v>2</v>
      </c>
      <c r="F590" s="2" t="str">
        <f>_xlfn.XLOOKUP(C590,customers!$A589:$A1589,customers!$B589:$B1589,,0)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5">
        <f>INDEX(products!$A$1:$G$49,MATCH(orders!$D590,products!$A$1:$A$49,0),MATCH(orders!K$1,products!$A$1:$G$1,0))</f>
        <v>0.5</v>
      </c>
      <c r="L590" s="7">
        <f>INDEX(products!$A$1:$G$49,MATCH(orders!$D590,products!$A$1:$A$49,0),MATCH(orders!L$1,products!$A$1:$G$1,0))</f>
        <v>5.97</v>
      </c>
      <c r="M590" s="7">
        <f t="shared" si="27"/>
        <v>11.94</v>
      </c>
      <c r="N590" t="str">
        <f t="shared" si="28"/>
        <v>Robusta</v>
      </c>
      <c r="O590" t="str">
        <f t="shared" si="29"/>
        <v>Medium</v>
      </c>
      <c r="P590" t="str">
        <f>_xlfn.XLOOKUP(Table1[[#This Row],[Customer ID]],customers!$A$1:$A$1001,customers!$I$1:$I$1001,,0)</f>
        <v>Yes</v>
      </c>
    </row>
    <row r="591" spans="1:16" x14ac:dyDescent="0.2">
      <c r="A591" s="2" t="s">
        <v>3818</v>
      </c>
      <c r="B591" s="3">
        <v>43671</v>
      </c>
      <c r="C591" s="2" t="s">
        <v>3819</v>
      </c>
      <c r="D591" t="s">
        <v>6148</v>
      </c>
      <c r="E591" s="2">
        <v>6</v>
      </c>
      <c r="F591" s="2" t="str">
        <f>_xlfn.XLOOKUP(C591,customers!$A590:$A1590,customers!$B590:$B1590,,0)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5">
        <f>INDEX(products!$A$1:$G$49,MATCH(orders!$D591,products!$A$1:$A$49,0),MATCH(orders!K$1,products!$A$1:$G$1,0))</f>
        <v>2.5</v>
      </c>
      <c r="L591" s="7">
        <f>INDEX(products!$A$1:$G$49,MATCH(orders!$D591,products!$A$1:$A$49,0),MATCH(orders!L$1,products!$A$1:$G$1,0))</f>
        <v>34.154999999999994</v>
      </c>
      <c r="M591" s="7">
        <f t="shared" si="27"/>
        <v>204.92999999999995</v>
      </c>
      <c r="N591" t="str">
        <f t="shared" si="28"/>
        <v>Excelsa</v>
      </c>
      <c r="O591" t="str">
        <f t="shared" si="29"/>
        <v>Light</v>
      </c>
      <c r="P591" t="str">
        <f>_xlfn.XLOOKUP(Table1[[#This Row],[Customer ID]],customers!$A$1:$A$1001,customers!$I$1:$I$1001,,0)</f>
        <v>No</v>
      </c>
    </row>
    <row r="592" spans="1:16" x14ac:dyDescent="0.2">
      <c r="A592" s="2" t="s">
        <v>3823</v>
      </c>
      <c r="B592" s="3">
        <v>43950</v>
      </c>
      <c r="C592" s="2" t="s">
        <v>3824</v>
      </c>
      <c r="D592" t="s">
        <v>6166</v>
      </c>
      <c r="E592" s="2">
        <v>2</v>
      </c>
      <c r="F592" s="2" t="str">
        <f>_xlfn.XLOOKUP(C592,customers!$A591:$A1591,customers!$B591:$B1591,,0)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5">
        <f>INDEX(products!$A$1:$G$49,MATCH(orders!$D592,products!$A$1:$A$49,0),MATCH(orders!K$1,products!$A$1:$G$1,0))</f>
        <v>2.5</v>
      </c>
      <c r="L592" s="7">
        <f>INDEX(products!$A$1:$G$49,MATCH(orders!$D592,products!$A$1:$A$49,0),MATCH(orders!L$1,products!$A$1:$G$1,0))</f>
        <v>31.624999999999996</v>
      </c>
      <c r="M592" s="7">
        <f t="shared" si="27"/>
        <v>63.249999999999993</v>
      </c>
      <c r="N592" t="str">
        <f t="shared" si="28"/>
        <v>Excelsa</v>
      </c>
      <c r="O592" t="str">
        <f t="shared" si="29"/>
        <v>Medium</v>
      </c>
      <c r="P592" t="str">
        <f>_xlfn.XLOOKUP(Table1[[#This Row],[Customer ID]],customers!$A$1:$A$1001,customers!$I$1:$I$1001,,0)</f>
        <v>Yes</v>
      </c>
    </row>
    <row r="593" spans="1:16" x14ac:dyDescent="0.2">
      <c r="A593" s="2" t="s">
        <v>3829</v>
      </c>
      <c r="B593" s="3">
        <v>43587</v>
      </c>
      <c r="C593" s="2" t="s">
        <v>3830</v>
      </c>
      <c r="D593" t="s">
        <v>6163</v>
      </c>
      <c r="E593" s="2">
        <v>3</v>
      </c>
      <c r="F593" s="2" t="str">
        <f>_xlfn.XLOOKUP(C593,customers!$A592:$A1592,customers!$B592:$B1592,,0)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5">
        <f>INDEX(products!$A$1:$G$49,MATCH(orders!$D593,products!$A$1:$A$49,0),MATCH(orders!K$1,products!$A$1:$G$1,0))</f>
        <v>0.2</v>
      </c>
      <c r="L593" s="7">
        <f>INDEX(products!$A$1:$G$49,MATCH(orders!$D593,products!$A$1:$A$49,0),MATCH(orders!L$1,products!$A$1:$G$1,0))</f>
        <v>2.6849999999999996</v>
      </c>
      <c r="M593" s="7">
        <f t="shared" si="27"/>
        <v>8.0549999999999997</v>
      </c>
      <c r="N593" t="str">
        <f t="shared" si="28"/>
        <v>Robusta</v>
      </c>
      <c r="O593" t="str">
        <f t="shared" si="29"/>
        <v>Dark</v>
      </c>
      <c r="P593" t="str">
        <f>_xlfn.XLOOKUP(Table1[[#This Row],[Customer ID]],customers!$A$1:$A$1001,customers!$I$1:$I$1001,,0)</f>
        <v>Yes</v>
      </c>
    </row>
    <row r="594" spans="1:16" x14ac:dyDescent="0.2">
      <c r="A594" s="2" t="s">
        <v>3834</v>
      </c>
      <c r="B594" s="3">
        <v>44437</v>
      </c>
      <c r="C594" s="2" t="s">
        <v>3835</v>
      </c>
      <c r="D594" t="s">
        <v>6175</v>
      </c>
      <c r="E594" s="2">
        <v>2</v>
      </c>
      <c r="F594" s="2" t="str">
        <f>_xlfn.XLOOKUP(C594,customers!$A593:$A1593,customers!$B593:$B1593,,0)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5">
        <f>INDEX(products!$A$1:$G$49,MATCH(orders!$D594,products!$A$1:$A$49,0),MATCH(orders!K$1,products!$A$1:$G$1,0))</f>
        <v>2.5</v>
      </c>
      <c r="L594" s="7">
        <f>INDEX(products!$A$1:$G$49,MATCH(orders!$D594,products!$A$1:$A$49,0),MATCH(orders!L$1,products!$A$1:$G$1,0))</f>
        <v>25.874999999999996</v>
      </c>
      <c r="M594" s="7">
        <f t="shared" si="27"/>
        <v>51.749999999999993</v>
      </c>
      <c r="N594" t="str">
        <f t="shared" si="28"/>
        <v>Arabica</v>
      </c>
      <c r="O594" t="str">
        <f t="shared" si="29"/>
        <v>Medium</v>
      </c>
      <c r="P594" t="str">
        <f>_xlfn.XLOOKUP(Table1[[#This Row],[Customer ID]],customers!$A$1:$A$1001,customers!$I$1:$I$1001,,0)</f>
        <v>No</v>
      </c>
    </row>
    <row r="595" spans="1:16" x14ac:dyDescent="0.2">
      <c r="A595" s="2" t="s">
        <v>3839</v>
      </c>
      <c r="B595" s="3">
        <v>43903</v>
      </c>
      <c r="C595" s="2" t="s">
        <v>3840</v>
      </c>
      <c r="D595" t="s">
        <v>6185</v>
      </c>
      <c r="E595" s="2">
        <v>1</v>
      </c>
      <c r="F595" s="2" t="str">
        <f>_xlfn.XLOOKUP(C595,customers!$A594:$A1594,customers!$B594:$B1594,,0)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5">
        <f>INDEX(products!$A$1:$G$49,MATCH(orders!$D595,products!$A$1:$A$49,0),MATCH(orders!K$1,products!$A$1:$G$1,0))</f>
        <v>2.5</v>
      </c>
      <c r="L595" s="7">
        <f>INDEX(products!$A$1:$G$49,MATCH(orders!$D595,products!$A$1:$A$49,0),MATCH(orders!L$1,products!$A$1:$G$1,0))</f>
        <v>27.945</v>
      </c>
      <c r="M595" s="7">
        <f t="shared" si="27"/>
        <v>27.945</v>
      </c>
      <c r="N595" t="str">
        <f t="shared" si="28"/>
        <v>Excelsa</v>
      </c>
      <c r="O595" t="str">
        <f t="shared" si="29"/>
        <v>Dark</v>
      </c>
      <c r="P595" t="str">
        <f>_xlfn.XLOOKUP(Table1[[#This Row],[Customer ID]],customers!$A$1:$A$1001,customers!$I$1:$I$1001,,0)</f>
        <v>Yes</v>
      </c>
    </row>
    <row r="596" spans="1:16" x14ac:dyDescent="0.2">
      <c r="A596" s="2" t="s">
        <v>3844</v>
      </c>
      <c r="B596" s="3">
        <v>43512</v>
      </c>
      <c r="C596" s="2" t="s">
        <v>3845</v>
      </c>
      <c r="D596" t="s">
        <v>6182</v>
      </c>
      <c r="E596" s="2">
        <v>2</v>
      </c>
      <c r="F596" s="2" t="str">
        <f>_xlfn.XLOOKUP(C596,customers!$A595:$A1595,customers!$B595:$B1595,,0)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5">
        <f>INDEX(products!$A$1:$G$49,MATCH(orders!$D596,products!$A$1:$A$49,0),MATCH(orders!K$1,products!$A$1:$G$1,0))</f>
        <v>2.5</v>
      </c>
      <c r="L596" s="7">
        <f>INDEX(products!$A$1:$G$49,MATCH(orders!$D596,products!$A$1:$A$49,0),MATCH(orders!L$1,products!$A$1:$G$1,0))</f>
        <v>29.784999999999997</v>
      </c>
      <c r="M596" s="7">
        <f t="shared" si="27"/>
        <v>59.569999999999993</v>
      </c>
      <c r="N596" t="str">
        <f t="shared" si="28"/>
        <v>Arabica</v>
      </c>
      <c r="O596" t="str">
        <f t="shared" si="29"/>
        <v>Light</v>
      </c>
      <c r="P596" t="str">
        <f>_xlfn.XLOOKUP(Table1[[#This Row],[Customer ID]],customers!$A$1:$A$1001,customers!$I$1:$I$1001,,0)</f>
        <v>No</v>
      </c>
    </row>
    <row r="597" spans="1:16" x14ac:dyDescent="0.2">
      <c r="A597" s="2" t="s">
        <v>3850</v>
      </c>
      <c r="B597" s="3">
        <v>44527</v>
      </c>
      <c r="C597" s="2" t="s">
        <v>3851</v>
      </c>
      <c r="D597" t="s">
        <v>6171</v>
      </c>
      <c r="E597" s="2">
        <v>1</v>
      </c>
      <c r="F597" s="2" t="str">
        <f>_xlfn.XLOOKUP(C597,customers!$A596:$A1596,customers!$B596:$B1596,,0)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5">
        <f>INDEX(products!$A$1:$G$49,MATCH(orders!$D597,products!$A$1:$A$49,0),MATCH(orders!K$1,products!$A$1:$G$1,0))</f>
        <v>1</v>
      </c>
      <c r="L597" s="7">
        <f>INDEX(products!$A$1:$G$49,MATCH(orders!$D597,products!$A$1:$A$49,0),MATCH(orders!L$1,products!$A$1:$G$1,0))</f>
        <v>14.85</v>
      </c>
      <c r="M597" s="7">
        <f t="shared" si="27"/>
        <v>14.85</v>
      </c>
      <c r="N597" t="str">
        <f t="shared" si="28"/>
        <v>Excelsa</v>
      </c>
      <c r="O597" t="str">
        <f t="shared" si="29"/>
        <v>Light</v>
      </c>
      <c r="P597" t="str">
        <f>_xlfn.XLOOKUP(Table1[[#This Row],[Customer ID]],customers!$A$1:$A$1001,customers!$I$1:$I$1001,,0)</f>
        <v>No</v>
      </c>
    </row>
    <row r="598" spans="1:16" x14ac:dyDescent="0.2">
      <c r="A598" s="2" t="s">
        <v>3854</v>
      </c>
      <c r="B598" s="3">
        <v>44523</v>
      </c>
      <c r="C598" s="2" t="s">
        <v>3855</v>
      </c>
      <c r="D598" t="s">
        <v>6157</v>
      </c>
      <c r="E598" s="2">
        <v>5</v>
      </c>
      <c r="F598" s="2" t="str">
        <f>_xlfn.XLOOKUP(C598,customers!$A597:$A1597,customers!$B597:$B1597,,0)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5">
        <f>INDEX(products!$A$1:$G$49,MATCH(orders!$D598,products!$A$1:$A$49,0),MATCH(orders!K$1,products!$A$1:$G$1,0))</f>
        <v>0.5</v>
      </c>
      <c r="L598" s="7">
        <f>INDEX(products!$A$1:$G$49,MATCH(orders!$D598,products!$A$1:$A$49,0),MATCH(orders!L$1,products!$A$1:$G$1,0))</f>
        <v>6.75</v>
      </c>
      <c r="M598" s="7">
        <f t="shared" si="27"/>
        <v>33.75</v>
      </c>
      <c r="N598" t="str">
        <f t="shared" si="28"/>
        <v>Arabica</v>
      </c>
      <c r="O598" t="str">
        <f t="shared" si="29"/>
        <v>Medium</v>
      </c>
      <c r="P598" t="str">
        <f>_xlfn.XLOOKUP(Table1[[#This Row],[Customer ID]],customers!$A$1:$A$1001,customers!$I$1:$I$1001,,0)</f>
        <v>No</v>
      </c>
    </row>
    <row r="599" spans="1:16" x14ac:dyDescent="0.2">
      <c r="A599" s="2" t="s">
        <v>3860</v>
      </c>
      <c r="B599" s="3">
        <v>44532</v>
      </c>
      <c r="C599" s="2" t="s">
        <v>3861</v>
      </c>
      <c r="D599" t="s">
        <v>6164</v>
      </c>
      <c r="E599" s="2">
        <v>4</v>
      </c>
      <c r="F599" s="2" t="str">
        <f>_xlfn.XLOOKUP(C599,customers!$A598:$A1598,customers!$B598:$B1598,,0)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5">
        <f>INDEX(products!$A$1:$G$49,MATCH(orders!$D599,products!$A$1:$A$49,0),MATCH(orders!K$1,products!$A$1:$G$1,0))</f>
        <v>2.5</v>
      </c>
      <c r="L599" s="7">
        <f>INDEX(products!$A$1:$G$49,MATCH(orders!$D599,products!$A$1:$A$49,0),MATCH(orders!L$1,products!$A$1:$G$1,0))</f>
        <v>36.454999999999998</v>
      </c>
      <c r="M599" s="7">
        <f t="shared" si="27"/>
        <v>145.82</v>
      </c>
      <c r="N599" t="str">
        <f t="shared" si="28"/>
        <v>Liberica</v>
      </c>
      <c r="O599" t="str">
        <f t="shared" si="29"/>
        <v>Light</v>
      </c>
      <c r="P599" t="str">
        <f>_xlfn.XLOOKUP(Table1[[#This Row],[Customer ID]],customers!$A$1:$A$1001,customers!$I$1:$I$1001,,0)</f>
        <v>Yes</v>
      </c>
    </row>
    <row r="600" spans="1:16" x14ac:dyDescent="0.2">
      <c r="A600" s="2" t="s">
        <v>3866</v>
      </c>
      <c r="B600" s="3">
        <v>43471</v>
      </c>
      <c r="C600" s="2" t="s">
        <v>3867</v>
      </c>
      <c r="D600" t="s">
        <v>6174</v>
      </c>
      <c r="E600" s="2">
        <v>4</v>
      </c>
      <c r="F600" s="2" t="str">
        <f>_xlfn.XLOOKUP(C600,customers!$A599:$A1599,customers!$B599:$B1599,,0)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5">
        <f>INDEX(products!$A$1:$G$49,MATCH(orders!$D600,products!$A$1:$A$49,0),MATCH(orders!K$1,products!$A$1:$G$1,0))</f>
        <v>0.2</v>
      </c>
      <c r="L600" s="7">
        <f>INDEX(products!$A$1:$G$49,MATCH(orders!$D600,products!$A$1:$A$49,0),MATCH(orders!L$1,products!$A$1:$G$1,0))</f>
        <v>2.9849999999999999</v>
      </c>
      <c r="M600" s="7">
        <f t="shared" si="27"/>
        <v>11.94</v>
      </c>
      <c r="N600" t="str">
        <f t="shared" si="28"/>
        <v>Robusta</v>
      </c>
      <c r="O600" t="str">
        <f t="shared" si="29"/>
        <v>Medium</v>
      </c>
      <c r="P600" t="str">
        <f>_xlfn.XLOOKUP(Table1[[#This Row],[Customer ID]],customers!$A$1:$A$1001,customers!$I$1:$I$1001,,0)</f>
        <v>Yes</v>
      </c>
    </row>
    <row r="601" spans="1:16" x14ac:dyDescent="0.2">
      <c r="A601" s="2" t="s">
        <v>3872</v>
      </c>
      <c r="B601" s="3">
        <v>44321</v>
      </c>
      <c r="C601" s="2" t="s">
        <v>3873</v>
      </c>
      <c r="D601" t="s">
        <v>6154</v>
      </c>
      <c r="E601" s="2">
        <v>4</v>
      </c>
      <c r="F601" s="2" t="str">
        <f>_xlfn.XLOOKUP(C601,customers!$A600:$A1600,customers!$B600:$B1600,,0)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5">
        <f>INDEX(products!$A$1:$G$49,MATCH(orders!$D601,products!$A$1:$A$49,0),MATCH(orders!K$1,products!$A$1:$G$1,0))</f>
        <v>0.2</v>
      </c>
      <c r="L601" s="7">
        <f>INDEX(products!$A$1:$G$49,MATCH(orders!$D601,products!$A$1:$A$49,0),MATCH(orders!L$1,products!$A$1:$G$1,0))</f>
        <v>2.9849999999999999</v>
      </c>
      <c r="M601" s="7">
        <f t="shared" si="27"/>
        <v>11.94</v>
      </c>
      <c r="N601" t="str">
        <f t="shared" si="28"/>
        <v>Arabica</v>
      </c>
      <c r="O601" t="str">
        <f t="shared" si="29"/>
        <v>Dark</v>
      </c>
      <c r="P601" t="str">
        <f>_xlfn.XLOOKUP(Table1[[#This Row],[Customer ID]],customers!$A$1:$A$1001,customers!$I$1:$I$1001,,0)</f>
        <v>Yes</v>
      </c>
    </row>
    <row r="602" spans="1:16" x14ac:dyDescent="0.2">
      <c r="A602" s="2" t="s">
        <v>3877</v>
      </c>
      <c r="B602" s="3">
        <v>44492</v>
      </c>
      <c r="C602" s="2" t="s">
        <v>3878</v>
      </c>
      <c r="D602" t="s">
        <v>6169</v>
      </c>
      <c r="E602" s="2">
        <v>1</v>
      </c>
      <c r="F602" s="2" t="str">
        <f>_xlfn.XLOOKUP(C602,customers!$A601:$A1601,customers!$B601:$B1601,,0)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5">
        <f>INDEX(products!$A$1:$G$49,MATCH(orders!$D602,products!$A$1:$A$49,0),MATCH(orders!K$1,products!$A$1:$G$1,0))</f>
        <v>0.5</v>
      </c>
      <c r="L602" s="7">
        <f>INDEX(products!$A$1:$G$49,MATCH(orders!$D602,products!$A$1:$A$49,0),MATCH(orders!L$1,products!$A$1:$G$1,0))</f>
        <v>7.77</v>
      </c>
      <c r="M602" s="7">
        <f t="shared" si="27"/>
        <v>7.77</v>
      </c>
      <c r="N602" t="str">
        <f t="shared" si="28"/>
        <v>Liberica</v>
      </c>
      <c r="O602" t="str">
        <f t="shared" si="29"/>
        <v>Dark</v>
      </c>
      <c r="P602" t="str">
        <f>_xlfn.XLOOKUP(Table1[[#This Row],[Customer ID]],customers!$A$1:$A$1001,customers!$I$1:$I$1001,,0)</f>
        <v>No</v>
      </c>
    </row>
    <row r="603" spans="1:16" x14ac:dyDescent="0.2">
      <c r="A603" s="2" t="s">
        <v>3883</v>
      </c>
      <c r="B603" s="3">
        <v>43815</v>
      </c>
      <c r="C603" s="2" t="s">
        <v>3884</v>
      </c>
      <c r="D603" t="s">
        <v>6142</v>
      </c>
      <c r="E603" s="2">
        <v>4</v>
      </c>
      <c r="F603" s="2" t="str">
        <f>_xlfn.XLOOKUP(C603,customers!$A602:$A1602,customers!$B602:$B1602,,0)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5">
        <f>INDEX(products!$A$1:$G$49,MATCH(orders!$D603,products!$A$1:$A$49,0),MATCH(orders!K$1,products!$A$1:$G$1,0))</f>
        <v>2.5</v>
      </c>
      <c r="L603" s="7">
        <f>INDEX(products!$A$1:$G$49,MATCH(orders!$D603,products!$A$1:$A$49,0),MATCH(orders!L$1,products!$A$1:$G$1,0))</f>
        <v>27.484999999999996</v>
      </c>
      <c r="M603" s="7">
        <f t="shared" si="27"/>
        <v>109.93999999999998</v>
      </c>
      <c r="N603" t="str">
        <f t="shared" si="28"/>
        <v>Robusta</v>
      </c>
      <c r="O603" t="str">
        <f t="shared" si="29"/>
        <v>Light</v>
      </c>
      <c r="P603" t="str">
        <f>_xlfn.XLOOKUP(Table1[[#This Row],[Customer ID]],customers!$A$1:$A$1001,customers!$I$1:$I$1001,,0)</f>
        <v>Yes</v>
      </c>
    </row>
    <row r="604" spans="1:16" x14ac:dyDescent="0.2">
      <c r="A604" s="2" t="s">
        <v>3889</v>
      </c>
      <c r="B604" s="3">
        <v>43603</v>
      </c>
      <c r="C604" s="2" t="s">
        <v>3890</v>
      </c>
      <c r="D604" t="s">
        <v>6184</v>
      </c>
      <c r="E604" s="2">
        <v>5</v>
      </c>
      <c r="F604" s="2" t="str">
        <f>_xlfn.XLOOKUP(C604,customers!$A603:$A1603,customers!$B603:$B1603,,0)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5">
        <f>INDEX(products!$A$1:$G$49,MATCH(orders!$D604,products!$A$1:$A$49,0),MATCH(orders!K$1,products!$A$1:$G$1,0))</f>
        <v>0.2</v>
      </c>
      <c r="L604" s="7">
        <f>INDEX(products!$A$1:$G$49,MATCH(orders!$D604,products!$A$1:$A$49,0),MATCH(orders!L$1,products!$A$1:$G$1,0))</f>
        <v>4.4550000000000001</v>
      </c>
      <c r="M604" s="7">
        <f t="shared" si="27"/>
        <v>22.274999999999999</v>
      </c>
      <c r="N604" t="str">
        <f t="shared" si="28"/>
        <v>Excelsa</v>
      </c>
      <c r="O604" t="str">
        <f t="shared" si="29"/>
        <v>Light</v>
      </c>
      <c r="P604" t="str">
        <f>_xlfn.XLOOKUP(Table1[[#This Row],[Customer ID]],customers!$A$1:$A$1001,customers!$I$1:$I$1001,,0)</f>
        <v>Yes</v>
      </c>
    </row>
    <row r="605" spans="1:16" x14ac:dyDescent="0.2">
      <c r="A605" s="2" t="s">
        <v>3895</v>
      </c>
      <c r="B605" s="3">
        <v>43660</v>
      </c>
      <c r="C605" s="2" t="s">
        <v>3896</v>
      </c>
      <c r="D605" t="s">
        <v>6174</v>
      </c>
      <c r="E605" s="2">
        <v>3</v>
      </c>
      <c r="F605" s="2" t="str">
        <f>_xlfn.XLOOKUP(C605,customers!$A604:$A1604,customers!$B604:$B1604,,0)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5">
        <f>INDEX(products!$A$1:$G$49,MATCH(orders!$D605,products!$A$1:$A$49,0),MATCH(orders!K$1,products!$A$1:$G$1,0))</f>
        <v>0.2</v>
      </c>
      <c r="L605" s="7">
        <f>INDEX(products!$A$1:$G$49,MATCH(orders!$D605,products!$A$1:$A$49,0),MATCH(orders!L$1,products!$A$1:$G$1,0))</f>
        <v>2.9849999999999999</v>
      </c>
      <c r="M605" s="7">
        <f t="shared" si="27"/>
        <v>8.9550000000000001</v>
      </c>
      <c r="N605" t="str">
        <f t="shared" si="28"/>
        <v>Robusta</v>
      </c>
      <c r="O605" t="str">
        <f t="shared" si="29"/>
        <v>Medium</v>
      </c>
      <c r="P605" t="str">
        <f>_xlfn.XLOOKUP(Table1[[#This Row],[Customer ID]],customers!$A$1:$A$1001,customers!$I$1:$I$1001,,0)</f>
        <v>No</v>
      </c>
    </row>
    <row r="606" spans="1:16" x14ac:dyDescent="0.2">
      <c r="A606" s="2" t="s">
        <v>3900</v>
      </c>
      <c r="B606" s="3">
        <v>44148</v>
      </c>
      <c r="C606" s="2" t="s">
        <v>3901</v>
      </c>
      <c r="D606" t="s">
        <v>6165</v>
      </c>
      <c r="E606" s="2">
        <v>4</v>
      </c>
      <c r="F606" s="2" t="str">
        <f>_xlfn.XLOOKUP(C606,customers!$A605:$A1605,customers!$B605:$B1605,,0)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5">
        <f>INDEX(products!$A$1:$G$49,MATCH(orders!$D606,products!$A$1:$A$49,0),MATCH(orders!K$1,products!$A$1:$G$1,0))</f>
        <v>2.5</v>
      </c>
      <c r="L606" s="7">
        <f>INDEX(products!$A$1:$G$49,MATCH(orders!$D606,products!$A$1:$A$49,0),MATCH(orders!L$1,products!$A$1:$G$1,0))</f>
        <v>29.784999999999997</v>
      </c>
      <c r="M606" s="7">
        <f t="shared" si="27"/>
        <v>119.13999999999999</v>
      </c>
      <c r="N606" t="str">
        <f t="shared" si="28"/>
        <v>Liberica</v>
      </c>
      <c r="O606" t="str">
        <f t="shared" si="29"/>
        <v>Dark</v>
      </c>
      <c r="P606" t="str">
        <f>_xlfn.XLOOKUP(Table1[[#This Row],[Customer ID]],customers!$A$1:$A$1001,customers!$I$1:$I$1001,,0)</f>
        <v>No</v>
      </c>
    </row>
    <row r="607" spans="1:16" x14ac:dyDescent="0.2">
      <c r="A607" s="2" t="s">
        <v>3905</v>
      </c>
      <c r="B607" s="3">
        <v>44028</v>
      </c>
      <c r="C607" s="2" t="s">
        <v>3906</v>
      </c>
      <c r="D607" t="s">
        <v>6182</v>
      </c>
      <c r="E607" s="2">
        <v>5</v>
      </c>
      <c r="F607" s="2" t="str">
        <f>_xlfn.XLOOKUP(C607,customers!$A606:$A1606,customers!$B606:$B1606,,0)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5">
        <f>INDEX(products!$A$1:$G$49,MATCH(orders!$D607,products!$A$1:$A$49,0),MATCH(orders!K$1,products!$A$1:$G$1,0))</f>
        <v>2.5</v>
      </c>
      <c r="L607" s="7">
        <f>INDEX(products!$A$1:$G$49,MATCH(orders!$D607,products!$A$1:$A$49,0),MATCH(orders!L$1,products!$A$1:$G$1,0))</f>
        <v>29.784999999999997</v>
      </c>
      <c r="M607" s="7">
        <f t="shared" si="27"/>
        <v>148.92499999999998</v>
      </c>
      <c r="N607" t="str">
        <f t="shared" si="28"/>
        <v>Arabica</v>
      </c>
      <c r="O607" t="str">
        <f t="shared" si="29"/>
        <v>Light</v>
      </c>
      <c r="P607" t="str">
        <f>_xlfn.XLOOKUP(Table1[[#This Row],[Customer ID]],customers!$A$1:$A$1001,customers!$I$1:$I$1001,,0)</f>
        <v>Yes</v>
      </c>
    </row>
    <row r="608" spans="1:16" x14ac:dyDescent="0.2">
      <c r="A608" s="2" t="s">
        <v>3911</v>
      </c>
      <c r="B608" s="3">
        <v>44138</v>
      </c>
      <c r="C608" s="2" t="s">
        <v>3840</v>
      </c>
      <c r="D608" t="s">
        <v>6164</v>
      </c>
      <c r="E608" s="2">
        <v>3</v>
      </c>
      <c r="F608" s="2" t="e">
        <f>_xlfn.XLOOKUP(C608,customers!$A607:$A1607,customers!$B607:$B1607,,0)</f>
        <v>#N/A</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5">
        <f>INDEX(products!$A$1:$G$49,MATCH(orders!$D608,products!$A$1:$A$49,0),MATCH(orders!K$1,products!$A$1:$G$1,0))</f>
        <v>2.5</v>
      </c>
      <c r="L608" s="7">
        <f>INDEX(products!$A$1:$G$49,MATCH(orders!$D608,products!$A$1:$A$49,0),MATCH(orders!L$1,products!$A$1:$G$1,0))</f>
        <v>36.454999999999998</v>
      </c>
      <c r="M608" s="7">
        <f t="shared" si="27"/>
        <v>109.36499999999999</v>
      </c>
      <c r="N608" t="str">
        <f t="shared" si="28"/>
        <v>Liberica</v>
      </c>
      <c r="O608" t="str">
        <f t="shared" si="29"/>
        <v>Light</v>
      </c>
      <c r="P608" t="str">
        <f>_xlfn.XLOOKUP(Table1[[#This Row],[Customer ID]],customers!$A$1:$A$1001,customers!$I$1:$I$1001,,0)</f>
        <v>Yes</v>
      </c>
    </row>
    <row r="609" spans="1:16" x14ac:dyDescent="0.2">
      <c r="A609" s="2" t="s">
        <v>3917</v>
      </c>
      <c r="B609" s="3">
        <v>44640</v>
      </c>
      <c r="C609" s="2" t="s">
        <v>3918</v>
      </c>
      <c r="D609" t="s">
        <v>6153</v>
      </c>
      <c r="E609" s="2">
        <v>1</v>
      </c>
      <c r="F609" s="2" t="str">
        <f>_xlfn.XLOOKUP(C609,customers!$A608:$A1608,customers!$B608:$B1608,,0)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5">
        <f>INDEX(products!$A$1:$G$49,MATCH(orders!$D609,products!$A$1:$A$49,0),MATCH(orders!K$1,products!$A$1:$G$1,0))</f>
        <v>0.2</v>
      </c>
      <c r="L609" s="7">
        <f>INDEX(products!$A$1:$G$49,MATCH(orders!$D609,products!$A$1:$A$49,0),MATCH(orders!L$1,products!$A$1:$G$1,0))</f>
        <v>3.645</v>
      </c>
      <c r="M609" s="7">
        <f t="shared" si="27"/>
        <v>3.645</v>
      </c>
      <c r="N609" t="str">
        <f t="shared" si="28"/>
        <v>Excelsa</v>
      </c>
      <c r="O609" t="str">
        <f t="shared" si="29"/>
        <v>Dark</v>
      </c>
      <c r="P609" t="str">
        <f>_xlfn.XLOOKUP(Table1[[#This Row],[Customer ID]],customers!$A$1:$A$1001,customers!$I$1:$I$1001,,0)</f>
        <v>Yes</v>
      </c>
    </row>
    <row r="610" spans="1:16" x14ac:dyDescent="0.2">
      <c r="A610" s="2" t="s">
        <v>3923</v>
      </c>
      <c r="B610" s="3">
        <v>44608</v>
      </c>
      <c r="C610" s="2" t="s">
        <v>3924</v>
      </c>
      <c r="D610" t="s">
        <v>6185</v>
      </c>
      <c r="E610" s="2">
        <v>2</v>
      </c>
      <c r="F610" s="2" t="str">
        <f>_xlfn.XLOOKUP(C610,customers!$A609:$A1609,customers!$B609:$B1609,,0)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5">
        <f>INDEX(products!$A$1:$G$49,MATCH(orders!$D610,products!$A$1:$A$49,0),MATCH(orders!K$1,products!$A$1:$G$1,0))</f>
        <v>2.5</v>
      </c>
      <c r="L610" s="7">
        <f>INDEX(products!$A$1:$G$49,MATCH(orders!$D610,products!$A$1:$A$49,0),MATCH(orders!L$1,products!$A$1:$G$1,0))</f>
        <v>27.945</v>
      </c>
      <c r="M610" s="7">
        <f t="shared" si="27"/>
        <v>55.89</v>
      </c>
      <c r="N610" t="str">
        <f t="shared" si="28"/>
        <v>Excelsa</v>
      </c>
      <c r="O610" t="str">
        <f t="shared" si="29"/>
        <v>Dark</v>
      </c>
      <c r="P610" t="str">
        <f>_xlfn.XLOOKUP(Table1[[#This Row],[Customer ID]],customers!$A$1:$A$1001,customers!$I$1:$I$1001,,0)</f>
        <v>No</v>
      </c>
    </row>
    <row r="611" spans="1:16" x14ac:dyDescent="0.2">
      <c r="A611" s="2" t="s">
        <v>3927</v>
      </c>
      <c r="B611" s="3">
        <v>44147</v>
      </c>
      <c r="C611" s="2" t="s">
        <v>3928</v>
      </c>
      <c r="D611" t="s">
        <v>6159</v>
      </c>
      <c r="E611" s="2">
        <v>6</v>
      </c>
      <c r="F611" s="2" t="str">
        <f>_xlfn.XLOOKUP(C611,customers!$A610:$A1610,customers!$B610:$B1610,,0)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5">
        <f>INDEX(products!$A$1:$G$49,MATCH(orders!$D611,products!$A$1:$A$49,0),MATCH(orders!K$1,products!$A$1:$G$1,0))</f>
        <v>0.2</v>
      </c>
      <c r="L611" s="7">
        <f>INDEX(products!$A$1:$G$49,MATCH(orders!$D611,products!$A$1:$A$49,0),MATCH(orders!L$1,products!$A$1:$G$1,0))</f>
        <v>4.3650000000000002</v>
      </c>
      <c r="M611" s="7">
        <f t="shared" si="27"/>
        <v>26.19</v>
      </c>
      <c r="N611" t="str">
        <f t="shared" si="28"/>
        <v>Liberica</v>
      </c>
      <c r="O611" t="str">
        <f t="shared" si="29"/>
        <v>Medium</v>
      </c>
      <c r="P611" t="str">
        <f>_xlfn.XLOOKUP(Table1[[#This Row],[Customer ID]],customers!$A$1:$A$1001,customers!$I$1:$I$1001,,0)</f>
        <v>Yes</v>
      </c>
    </row>
    <row r="612" spans="1:16" x14ac:dyDescent="0.2">
      <c r="A612" s="2" t="s">
        <v>3933</v>
      </c>
      <c r="B612" s="3">
        <v>43743</v>
      </c>
      <c r="C612" s="2" t="s">
        <v>3934</v>
      </c>
      <c r="D612" t="s">
        <v>6138</v>
      </c>
      <c r="E612" s="2">
        <v>4</v>
      </c>
      <c r="F612" s="2" t="str">
        <f>_xlfn.XLOOKUP(C612,customers!$A611:$A1611,customers!$B611:$B1611,,0)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5">
        <f>INDEX(products!$A$1:$G$49,MATCH(orders!$D612,products!$A$1:$A$49,0),MATCH(orders!K$1,products!$A$1:$G$1,0))</f>
        <v>1</v>
      </c>
      <c r="L612" s="7">
        <f>INDEX(products!$A$1:$G$49,MATCH(orders!$D612,products!$A$1:$A$49,0),MATCH(orders!L$1,products!$A$1:$G$1,0))</f>
        <v>9.9499999999999993</v>
      </c>
      <c r="M612" s="7">
        <f t="shared" si="27"/>
        <v>39.799999999999997</v>
      </c>
      <c r="N612" t="str">
        <f t="shared" si="28"/>
        <v>Robusta</v>
      </c>
      <c r="O612" t="str">
        <f t="shared" si="29"/>
        <v>Medium</v>
      </c>
      <c r="P612" t="str">
        <f>_xlfn.XLOOKUP(Table1[[#This Row],[Customer ID]],customers!$A$1:$A$1001,customers!$I$1:$I$1001,,0)</f>
        <v>No</v>
      </c>
    </row>
    <row r="613" spans="1:16" x14ac:dyDescent="0.2">
      <c r="A613" s="2" t="s">
        <v>3939</v>
      </c>
      <c r="B613" s="3">
        <v>43739</v>
      </c>
      <c r="C613" s="2" t="s">
        <v>3940</v>
      </c>
      <c r="D613" t="s">
        <v>6148</v>
      </c>
      <c r="E613" s="2">
        <v>2</v>
      </c>
      <c r="F613" s="2" t="str">
        <f>_xlfn.XLOOKUP(C613,customers!$A612:$A1612,customers!$B612:$B1612,,0)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5">
        <f>INDEX(products!$A$1:$G$49,MATCH(orders!$D613,products!$A$1:$A$49,0),MATCH(orders!K$1,products!$A$1:$G$1,0))</f>
        <v>2.5</v>
      </c>
      <c r="L613" s="7">
        <f>INDEX(products!$A$1:$G$49,MATCH(orders!$D613,products!$A$1:$A$49,0),MATCH(orders!L$1,products!$A$1:$G$1,0))</f>
        <v>34.154999999999994</v>
      </c>
      <c r="M613" s="7">
        <f t="shared" si="27"/>
        <v>68.309999999999988</v>
      </c>
      <c r="N613" t="str">
        <f t="shared" si="28"/>
        <v>Excelsa</v>
      </c>
      <c r="O613" t="str">
        <f t="shared" si="29"/>
        <v>Light</v>
      </c>
      <c r="P613" t="str">
        <f>_xlfn.XLOOKUP(Table1[[#This Row],[Customer ID]],customers!$A$1:$A$1001,customers!$I$1:$I$1001,,0)</f>
        <v>No</v>
      </c>
    </row>
    <row r="614" spans="1:16" x14ac:dyDescent="0.2">
      <c r="A614" s="2" t="s">
        <v>3945</v>
      </c>
      <c r="B614" s="3">
        <v>43896</v>
      </c>
      <c r="C614" s="2" t="s">
        <v>3946</v>
      </c>
      <c r="D614" t="s">
        <v>6152</v>
      </c>
      <c r="E614" s="2">
        <v>4</v>
      </c>
      <c r="F614" s="2" t="str">
        <f>_xlfn.XLOOKUP(C614,customers!$A613:$A1613,customers!$B613:$B1613,,0)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5">
        <f>INDEX(products!$A$1:$G$49,MATCH(orders!$D614,products!$A$1:$A$49,0),MATCH(orders!K$1,products!$A$1:$G$1,0))</f>
        <v>0.2</v>
      </c>
      <c r="L614" s="7">
        <f>INDEX(products!$A$1:$G$49,MATCH(orders!$D614,products!$A$1:$A$49,0),MATCH(orders!L$1,products!$A$1:$G$1,0))</f>
        <v>3.375</v>
      </c>
      <c r="M614" s="7">
        <f t="shared" si="27"/>
        <v>13.5</v>
      </c>
      <c r="N614" t="str">
        <f t="shared" si="28"/>
        <v>Arabica</v>
      </c>
      <c r="O614" t="str">
        <f t="shared" si="29"/>
        <v>Medium</v>
      </c>
      <c r="P614" t="str">
        <f>_xlfn.XLOOKUP(Table1[[#This Row],[Customer ID]],customers!$A$1:$A$1001,customers!$I$1:$I$1001,,0)</f>
        <v>No</v>
      </c>
    </row>
    <row r="615" spans="1:16" x14ac:dyDescent="0.2">
      <c r="A615" s="2" t="s">
        <v>3950</v>
      </c>
      <c r="B615" s="3">
        <v>43761</v>
      </c>
      <c r="C615" s="2" t="s">
        <v>3951</v>
      </c>
      <c r="D615" t="s">
        <v>6146</v>
      </c>
      <c r="E615" s="2">
        <v>1</v>
      </c>
      <c r="F615" s="2" t="str">
        <f>_xlfn.XLOOKUP(C615,customers!$A614:$A1614,customers!$B614:$B1614,,0)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5">
        <f>INDEX(products!$A$1:$G$49,MATCH(orders!$D615,products!$A$1:$A$49,0),MATCH(orders!K$1,products!$A$1:$G$1,0))</f>
        <v>0.5</v>
      </c>
      <c r="L615" s="7">
        <f>INDEX(products!$A$1:$G$49,MATCH(orders!$D615,products!$A$1:$A$49,0),MATCH(orders!L$1,products!$A$1:$G$1,0))</f>
        <v>5.97</v>
      </c>
      <c r="M615" s="7">
        <f t="shared" si="27"/>
        <v>5.97</v>
      </c>
      <c r="N615" t="str">
        <f t="shared" si="28"/>
        <v>Robusta</v>
      </c>
      <c r="O615" t="str">
        <f t="shared" si="29"/>
        <v>Medium</v>
      </c>
      <c r="P615" t="str">
        <f>_xlfn.XLOOKUP(Table1[[#This Row],[Customer ID]],customers!$A$1:$A$1001,customers!$I$1:$I$1001,,0)</f>
        <v>No</v>
      </c>
    </row>
    <row r="616" spans="1:16" x14ac:dyDescent="0.2">
      <c r="A616" s="2" t="s">
        <v>3955</v>
      </c>
      <c r="B616" s="3">
        <v>43944</v>
      </c>
      <c r="C616" s="2" t="s">
        <v>3840</v>
      </c>
      <c r="D616" t="s">
        <v>6146</v>
      </c>
      <c r="E616" s="2">
        <v>5</v>
      </c>
      <c r="F616" s="2" t="e">
        <f>_xlfn.XLOOKUP(C616,customers!$A615:$A1615,customers!$B615:$B1615,,0)</f>
        <v>#N/A</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5">
        <f>INDEX(products!$A$1:$G$49,MATCH(orders!$D616,products!$A$1:$A$49,0),MATCH(orders!K$1,products!$A$1:$G$1,0))</f>
        <v>0.5</v>
      </c>
      <c r="L616" s="7">
        <f>INDEX(products!$A$1:$G$49,MATCH(orders!$D616,products!$A$1:$A$49,0),MATCH(orders!L$1,products!$A$1:$G$1,0))</f>
        <v>5.97</v>
      </c>
      <c r="M616" s="7">
        <f t="shared" si="27"/>
        <v>29.849999999999998</v>
      </c>
      <c r="N616" t="str">
        <f t="shared" si="28"/>
        <v>Robusta</v>
      </c>
      <c r="O616" t="str">
        <f t="shared" si="29"/>
        <v>Medium</v>
      </c>
      <c r="P616" t="str">
        <f>_xlfn.XLOOKUP(Table1[[#This Row],[Customer ID]],customers!$A$1:$A$1001,customers!$I$1:$I$1001,,0)</f>
        <v>Yes</v>
      </c>
    </row>
    <row r="617" spans="1:16" x14ac:dyDescent="0.2">
      <c r="A617" s="2" t="s">
        <v>3960</v>
      </c>
      <c r="B617" s="3">
        <v>44006</v>
      </c>
      <c r="C617" s="2" t="s">
        <v>3961</v>
      </c>
      <c r="D617" t="s">
        <v>6164</v>
      </c>
      <c r="E617" s="2">
        <v>2</v>
      </c>
      <c r="F617" s="2" t="str">
        <f>_xlfn.XLOOKUP(C617,customers!$A616:$A1616,customers!$B616:$B1616,,0)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5">
        <f>INDEX(products!$A$1:$G$49,MATCH(orders!$D617,products!$A$1:$A$49,0),MATCH(orders!K$1,products!$A$1:$G$1,0))</f>
        <v>2.5</v>
      </c>
      <c r="L617" s="7">
        <f>INDEX(products!$A$1:$G$49,MATCH(orders!$D617,products!$A$1:$A$49,0),MATCH(orders!L$1,products!$A$1:$G$1,0))</f>
        <v>36.454999999999998</v>
      </c>
      <c r="M617" s="7">
        <f t="shared" si="27"/>
        <v>72.91</v>
      </c>
      <c r="N617" t="str">
        <f t="shared" si="28"/>
        <v>Liberica</v>
      </c>
      <c r="O617" t="str">
        <f t="shared" si="29"/>
        <v>Light</v>
      </c>
      <c r="P617" t="str">
        <f>_xlfn.XLOOKUP(Table1[[#This Row],[Customer ID]],customers!$A$1:$A$1001,customers!$I$1:$I$1001,,0)</f>
        <v>Yes</v>
      </c>
    </row>
    <row r="618" spans="1:16" x14ac:dyDescent="0.2">
      <c r="A618" s="2" t="s">
        <v>3966</v>
      </c>
      <c r="B618" s="3">
        <v>44271</v>
      </c>
      <c r="C618" s="2" t="s">
        <v>3967</v>
      </c>
      <c r="D618" t="s">
        <v>6166</v>
      </c>
      <c r="E618" s="2">
        <v>4</v>
      </c>
      <c r="F618" s="2" t="str">
        <f>_xlfn.XLOOKUP(C618,customers!$A617:$A1617,customers!$B617:$B1617,,0)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5">
        <f>INDEX(products!$A$1:$G$49,MATCH(orders!$D618,products!$A$1:$A$49,0),MATCH(orders!K$1,products!$A$1:$G$1,0))</f>
        <v>2.5</v>
      </c>
      <c r="L618" s="7">
        <f>INDEX(products!$A$1:$G$49,MATCH(orders!$D618,products!$A$1:$A$49,0),MATCH(orders!L$1,products!$A$1:$G$1,0))</f>
        <v>31.624999999999996</v>
      </c>
      <c r="M618" s="7">
        <f t="shared" si="27"/>
        <v>126.49999999999999</v>
      </c>
      <c r="N618" t="str">
        <f t="shared" si="28"/>
        <v>Excelsa</v>
      </c>
      <c r="O618" t="str">
        <f t="shared" si="29"/>
        <v>Medium</v>
      </c>
      <c r="P618" t="str">
        <f>_xlfn.XLOOKUP(Table1[[#This Row],[Customer ID]],customers!$A$1:$A$1001,customers!$I$1:$I$1001,,0)</f>
        <v>No</v>
      </c>
    </row>
    <row r="619" spans="1:16" x14ac:dyDescent="0.2">
      <c r="A619" s="2" t="s">
        <v>3972</v>
      </c>
      <c r="B619" s="3">
        <v>43928</v>
      </c>
      <c r="C619" s="2" t="s">
        <v>3973</v>
      </c>
      <c r="D619" t="s">
        <v>6181</v>
      </c>
      <c r="E619" s="2">
        <v>1</v>
      </c>
      <c r="F619" s="2" t="str">
        <f>_xlfn.XLOOKUP(C619,customers!$A618:$A1618,customers!$B618:$B1618,,0)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5">
        <f>INDEX(products!$A$1:$G$49,MATCH(orders!$D619,products!$A$1:$A$49,0),MATCH(orders!K$1,products!$A$1:$G$1,0))</f>
        <v>2.5</v>
      </c>
      <c r="L619" s="7">
        <f>INDEX(products!$A$1:$G$49,MATCH(orders!$D619,products!$A$1:$A$49,0),MATCH(orders!L$1,products!$A$1:$G$1,0))</f>
        <v>33.464999999999996</v>
      </c>
      <c r="M619" s="7">
        <f t="shared" si="27"/>
        <v>33.464999999999996</v>
      </c>
      <c r="N619" t="str">
        <f t="shared" si="28"/>
        <v>Liberica</v>
      </c>
      <c r="O619" t="str">
        <f t="shared" si="29"/>
        <v>Medium</v>
      </c>
      <c r="P619" t="str">
        <f>_xlfn.XLOOKUP(Table1[[#This Row],[Customer ID]],customers!$A$1:$A$1001,customers!$I$1:$I$1001,,0)</f>
        <v>No</v>
      </c>
    </row>
    <row r="620" spans="1:16" x14ac:dyDescent="0.2">
      <c r="A620" s="2" t="s">
        <v>3978</v>
      </c>
      <c r="B620" s="3">
        <v>44469</v>
      </c>
      <c r="C620" s="2" t="s">
        <v>3979</v>
      </c>
      <c r="D620" t="s">
        <v>6183</v>
      </c>
      <c r="E620" s="2">
        <v>6</v>
      </c>
      <c r="F620" s="2" t="str">
        <f>_xlfn.XLOOKUP(C620,customers!$A619:$A1619,customers!$B619:$B1619,,0)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5">
        <f>INDEX(products!$A$1:$G$49,MATCH(orders!$D620,products!$A$1:$A$49,0),MATCH(orders!K$1,products!$A$1:$G$1,0))</f>
        <v>1</v>
      </c>
      <c r="L620" s="7">
        <f>INDEX(products!$A$1:$G$49,MATCH(orders!$D620,products!$A$1:$A$49,0),MATCH(orders!L$1,products!$A$1:$G$1,0))</f>
        <v>12.15</v>
      </c>
      <c r="M620" s="7">
        <f t="shared" si="27"/>
        <v>72.900000000000006</v>
      </c>
      <c r="N620" t="str">
        <f t="shared" si="28"/>
        <v>Excelsa</v>
      </c>
      <c r="O620" t="str">
        <f t="shared" si="29"/>
        <v>Dark</v>
      </c>
      <c r="P620" t="str">
        <f>_xlfn.XLOOKUP(Table1[[#This Row],[Customer ID]],customers!$A$1:$A$1001,customers!$I$1:$I$1001,,0)</f>
        <v>Yes</v>
      </c>
    </row>
    <row r="621" spans="1:16" x14ac:dyDescent="0.2">
      <c r="A621" s="2" t="s">
        <v>3984</v>
      </c>
      <c r="B621" s="3">
        <v>44682</v>
      </c>
      <c r="C621" s="2" t="s">
        <v>3985</v>
      </c>
      <c r="D621" t="s">
        <v>6169</v>
      </c>
      <c r="E621" s="2">
        <v>2</v>
      </c>
      <c r="F621" s="2" t="str">
        <f>_xlfn.XLOOKUP(C621,customers!$A620:$A1620,customers!$B620:$B1620,,0)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5">
        <f>INDEX(products!$A$1:$G$49,MATCH(orders!$D621,products!$A$1:$A$49,0),MATCH(orders!K$1,products!$A$1:$G$1,0))</f>
        <v>0.5</v>
      </c>
      <c r="L621" s="7">
        <f>INDEX(products!$A$1:$G$49,MATCH(orders!$D621,products!$A$1:$A$49,0),MATCH(orders!L$1,products!$A$1:$G$1,0))</f>
        <v>7.77</v>
      </c>
      <c r="M621" s="7">
        <f t="shared" si="27"/>
        <v>15.54</v>
      </c>
      <c r="N621" t="str">
        <f t="shared" si="28"/>
        <v>Liberica</v>
      </c>
      <c r="O621" t="str">
        <f t="shared" si="29"/>
        <v>Dark</v>
      </c>
      <c r="P621" t="str">
        <f>_xlfn.XLOOKUP(Table1[[#This Row],[Customer ID]],customers!$A$1:$A$1001,customers!$I$1:$I$1001,,0)</f>
        <v>Yes</v>
      </c>
    </row>
    <row r="622" spans="1:16" x14ac:dyDescent="0.2">
      <c r="A622" s="2" t="s">
        <v>3990</v>
      </c>
      <c r="B622" s="3">
        <v>44217</v>
      </c>
      <c r="C622" s="2" t="s">
        <v>4042</v>
      </c>
      <c r="D622" t="s">
        <v>6152</v>
      </c>
      <c r="E622" s="2">
        <v>6</v>
      </c>
      <c r="F622" s="2" t="str">
        <f>_xlfn.XLOOKUP(C622,customers!$A621:$A1621,customers!$B621:$B1621,,0)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5">
        <f>INDEX(products!$A$1:$G$49,MATCH(orders!$D622,products!$A$1:$A$49,0),MATCH(orders!K$1,products!$A$1:$G$1,0))</f>
        <v>0.2</v>
      </c>
      <c r="L622" s="7">
        <f>INDEX(products!$A$1:$G$49,MATCH(orders!$D622,products!$A$1:$A$49,0),MATCH(orders!L$1,products!$A$1:$G$1,0))</f>
        <v>3.375</v>
      </c>
      <c r="M622" s="7">
        <f t="shared" si="27"/>
        <v>20.25</v>
      </c>
      <c r="N622" t="str">
        <f t="shared" si="28"/>
        <v>Arabica</v>
      </c>
      <c r="O622" t="str">
        <f t="shared" si="29"/>
        <v>Medium</v>
      </c>
      <c r="P622" t="str">
        <f>_xlfn.XLOOKUP(Table1[[#This Row],[Customer ID]],customers!$A$1:$A$1001,customers!$I$1:$I$1001,,0)</f>
        <v>No</v>
      </c>
    </row>
    <row r="623" spans="1:16" x14ac:dyDescent="0.2">
      <c r="A623" s="2" t="s">
        <v>3996</v>
      </c>
      <c r="B623" s="3">
        <v>44006</v>
      </c>
      <c r="C623" s="2" t="s">
        <v>3997</v>
      </c>
      <c r="D623" t="s">
        <v>6140</v>
      </c>
      <c r="E623" s="2">
        <v>6</v>
      </c>
      <c r="F623" s="2" t="str">
        <f>_xlfn.XLOOKUP(C623,customers!$A622:$A1622,customers!$B622:$B1622,,0)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5">
        <f>INDEX(products!$A$1:$G$49,MATCH(orders!$D623,products!$A$1:$A$49,0),MATCH(orders!K$1,products!$A$1:$G$1,0))</f>
        <v>1</v>
      </c>
      <c r="L623" s="7">
        <f>INDEX(products!$A$1:$G$49,MATCH(orders!$D623,products!$A$1:$A$49,0),MATCH(orders!L$1,products!$A$1:$G$1,0))</f>
        <v>12.95</v>
      </c>
      <c r="M623" s="7">
        <f t="shared" si="27"/>
        <v>77.699999999999989</v>
      </c>
      <c r="N623" t="str">
        <f t="shared" si="28"/>
        <v>Arabica</v>
      </c>
      <c r="O623" t="str">
        <f t="shared" si="29"/>
        <v>Light</v>
      </c>
      <c r="P623" t="str">
        <f>_xlfn.XLOOKUP(Table1[[#This Row],[Customer ID]],customers!$A$1:$A$1001,customers!$I$1:$I$1001,,0)</f>
        <v>No</v>
      </c>
    </row>
    <row r="624" spans="1:16" x14ac:dyDescent="0.2">
      <c r="A624" s="2" t="s">
        <v>4002</v>
      </c>
      <c r="B624" s="3">
        <v>43527</v>
      </c>
      <c r="C624" s="2" t="s">
        <v>4003</v>
      </c>
      <c r="D624" t="s">
        <v>6181</v>
      </c>
      <c r="E624" s="2">
        <v>4</v>
      </c>
      <c r="F624" s="2" t="str">
        <f>_xlfn.XLOOKUP(C624,customers!$A623:$A1623,customers!$B623:$B1623,,0)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5">
        <f>INDEX(products!$A$1:$G$49,MATCH(orders!$D624,products!$A$1:$A$49,0),MATCH(orders!K$1,products!$A$1:$G$1,0))</f>
        <v>2.5</v>
      </c>
      <c r="L624" s="7">
        <f>INDEX(products!$A$1:$G$49,MATCH(orders!$D624,products!$A$1:$A$49,0),MATCH(orders!L$1,products!$A$1:$G$1,0))</f>
        <v>33.464999999999996</v>
      </c>
      <c r="M624" s="7">
        <f t="shared" si="27"/>
        <v>133.85999999999999</v>
      </c>
      <c r="N624" t="str">
        <f t="shared" si="28"/>
        <v>Liberica</v>
      </c>
      <c r="O624" t="str">
        <f t="shared" si="29"/>
        <v>Medium</v>
      </c>
      <c r="P624" t="str">
        <f>_xlfn.XLOOKUP(Table1[[#This Row],[Customer ID]],customers!$A$1:$A$1001,customers!$I$1:$I$1001,,0)</f>
        <v>No</v>
      </c>
    </row>
    <row r="625" spans="1:16" x14ac:dyDescent="0.2">
      <c r="A625" s="2" t="s">
        <v>4007</v>
      </c>
      <c r="B625" s="3">
        <v>44224</v>
      </c>
      <c r="C625" s="2" t="s">
        <v>4008</v>
      </c>
      <c r="D625" t="s">
        <v>6183</v>
      </c>
      <c r="E625" s="2">
        <v>1</v>
      </c>
      <c r="F625" s="2" t="str">
        <f>_xlfn.XLOOKUP(C625,customers!$A624:$A1624,customers!$B624:$B1624,,0)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5">
        <f>INDEX(products!$A$1:$G$49,MATCH(orders!$D625,products!$A$1:$A$49,0),MATCH(orders!K$1,products!$A$1:$G$1,0))</f>
        <v>1</v>
      </c>
      <c r="L625" s="7">
        <f>INDEX(products!$A$1:$G$49,MATCH(orders!$D625,products!$A$1:$A$49,0),MATCH(orders!L$1,products!$A$1:$G$1,0))</f>
        <v>12.15</v>
      </c>
      <c r="M625" s="7">
        <f t="shared" si="27"/>
        <v>12.15</v>
      </c>
      <c r="N625" t="str">
        <f t="shared" si="28"/>
        <v>Excelsa</v>
      </c>
      <c r="O625" t="str">
        <f t="shared" si="29"/>
        <v>Dark</v>
      </c>
      <c r="P625" t="str">
        <f>_xlfn.XLOOKUP(Table1[[#This Row],[Customer ID]],customers!$A$1:$A$1001,customers!$I$1:$I$1001,,0)</f>
        <v>No</v>
      </c>
    </row>
    <row r="626" spans="1:16" x14ac:dyDescent="0.2">
      <c r="A626" s="2" t="s">
        <v>4012</v>
      </c>
      <c r="B626" s="3">
        <v>44010</v>
      </c>
      <c r="C626" s="2" t="s">
        <v>4013</v>
      </c>
      <c r="D626" t="s">
        <v>6166</v>
      </c>
      <c r="E626" s="2">
        <v>2</v>
      </c>
      <c r="F626" s="2" t="str">
        <f>_xlfn.XLOOKUP(C626,customers!$A625:$A1625,customers!$B625:$B1625,,0)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5">
        <f>INDEX(products!$A$1:$G$49,MATCH(orders!$D626,products!$A$1:$A$49,0),MATCH(orders!K$1,products!$A$1:$G$1,0))</f>
        <v>2.5</v>
      </c>
      <c r="L626" s="7">
        <f>INDEX(products!$A$1:$G$49,MATCH(orders!$D626,products!$A$1:$A$49,0),MATCH(orders!L$1,products!$A$1:$G$1,0))</f>
        <v>31.624999999999996</v>
      </c>
      <c r="M626" s="7">
        <f t="shared" si="27"/>
        <v>63.249999999999993</v>
      </c>
      <c r="N626" t="str">
        <f t="shared" si="28"/>
        <v>Excelsa</v>
      </c>
      <c r="O626" t="str">
        <f t="shared" si="29"/>
        <v>Medium</v>
      </c>
      <c r="P626" t="str">
        <f>_xlfn.XLOOKUP(Table1[[#This Row],[Customer ID]],customers!$A$1:$A$1001,customers!$I$1:$I$1001,,0)</f>
        <v>Yes</v>
      </c>
    </row>
    <row r="627" spans="1:16" x14ac:dyDescent="0.2">
      <c r="A627" s="2" t="s">
        <v>4017</v>
      </c>
      <c r="B627" s="3">
        <v>44017</v>
      </c>
      <c r="C627" s="2" t="s">
        <v>4018</v>
      </c>
      <c r="D627" t="s">
        <v>6173</v>
      </c>
      <c r="E627" s="2">
        <v>5</v>
      </c>
      <c r="F627" s="2" t="str">
        <f>_xlfn.XLOOKUP(C627,customers!$A626:$A1626,customers!$B626:$B1626,,0)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5">
        <f>INDEX(products!$A$1:$G$49,MATCH(orders!$D627,products!$A$1:$A$49,0),MATCH(orders!K$1,products!$A$1:$G$1,0))</f>
        <v>0.5</v>
      </c>
      <c r="L627" s="7">
        <f>INDEX(products!$A$1:$G$49,MATCH(orders!$D627,products!$A$1:$A$49,0),MATCH(orders!L$1,products!$A$1:$G$1,0))</f>
        <v>7.169999999999999</v>
      </c>
      <c r="M627" s="7">
        <f t="shared" si="27"/>
        <v>35.849999999999994</v>
      </c>
      <c r="N627" t="str">
        <f t="shared" si="28"/>
        <v>Robusta</v>
      </c>
      <c r="O627" t="str">
        <f t="shared" si="29"/>
        <v>Light</v>
      </c>
      <c r="P627" t="str">
        <f>_xlfn.XLOOKUP(Table1[[#This Row],[Customer ID]],customers!$A$1:$A$1001,customers!$I$1:$I$1001,,0)</f>
        <v>No</v>
      </c>
    </row>
    <row r="628" spans="1:16" x14ac:dyDescent="0.2">
      <c r="A628" s="2" t="s">
        <v>4023</v>
      </c>
      <c r="B628" s="3">
        <v>43526</v>
      </c>
      <c r="C628" s="2" t="s">
        <v>4024</v>
      </c>
      <c r="D628" t="s">
        <v>6175</v>
      </c>
      <c r="E628" s="2">
        <v>3</v>
      </c>
      <c r="F628" s="2" t="str">
        <f>_xlfn.XLOOKUP(C628,customers!$A627:$A1627,customers!$B627:$B1627,,0)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5">
        <f>INDEX(products!$A$1:$G$49,MATCH(orders!$D628,products!$A$1:$A$49,0),MATCH(orders!K$1,products!$A$1:$G$1,0))</f>
        <v>2.5</v>
      </c>
      <c r="L628" s="7">
        <f>INDEX(products!$A$1:$G$49,MATCH(orders!$D628,products!$A$1:$A$49,0),MATCH(orders!L$1,products!$A$1:$G$1,0))</f>
        <v>25.874999999999996</v>
      </c>
      <c r="M628" s="7">
        <f t="shared" si="27"/>
        <v>77.624999999999986</v>
      </c>
      <c r="N628" t="str">
        <f t="shared" si="28"/>
        <v>Arabica</v>
      </c>
      <c r="O628" t="str">
        <f t="shared" si="29"/>
        <v>Medium</v>
      </c>
      <c r="P628" t="str">
        <f>_xlfn.XLOOKUP(Table1[[#This Row],[Customer ID]],customers!$A$1:$A$1001,customers!$I$1:$I$1001,,0)</f>
        <v>No</v>
      </c>
    </row>
    <row r="629" spans="1:16" x14ac:dyDescent="0.2">
      <c r="A629" s="2" t="s">
        <v>4029</v>
      </c>
      <c r="B629" s="3">
        <v>44682</v>
      </c>
      <c r="C629" s="2" t="s">
        <v>4030</v>
      </c>
      <c r="D629" t="s">
        <v>6166</v>
      </c>
      <c r="E629" s="2">
        <v>2</v>
      </c>
      <c r="F629" s="2" t="str">
        <f>_xlfn.XLOOKUP(C629,customers!$A628:$A1628,customers!$B628:$B1628,,0)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5">
        <f>INDEX(products!$A$1:$G$49,MATCH(orders!$D629,products!$A$1:$A$49,0),MATCH(orders!K$1,products!$A$1:$G$1,0))</f>
        <v>2.5</v>
      </c>
      <c r="L629" s="7">
        <f>INDEX(products!$A$1:$G$49,MATCH(orders!$D629,products!$A$1:$A$49,0),MATCH(orders!L$1,products!$A$1:$G$1,0))</f>
        <v>31.624999999999996</v>
      </c>
      <c r="M629" s="7">
        <f t="shared" si="27"/>
        <v>63.249999999999993</v>
      </c>
      <c r="N629" t="str">
        <f t="shared" si="28"/>
        <v>Excelsa</v>
      </c>
      <c r="O629" t="str">
        <f t="shared" si="29"/>
        <v>Medium</v>
      </c>
      <c r="P629" t="str">
        <f>_xlfn.XLOOKUP(Table1[[#This Row],[Customer ID]],customers!$A$1:$A$1001,customers!$I$1:$I$1001,,0)</f>
        <v>Yes</v>
      </c>
    </row>
    <row r="630" spans="1:16" x14ac:dyDescent="0.2">
      <c r="A630" s="2" t="s">
        <v>4035</v>
      </c>
      <c r="B630" s="3">
        <v>44680</v>
      </c>
      <c r="C630" s="2" t="s">
        <v>4036</v>
      </c>
      <c r="D630" t="s">
        <v>6184</v>
      </c>
      <c r="E630" s="2">
        <v>6</v>
      </c>
      <c r="F630" s="2" t="str">
        <f>_xlfn.XLOOKUP(C630,customers!$A629:$A1629,customers!$B629:$B1629,,0)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5">
        <f>INDEX(products!$A$1:$G$49,MATCH(orders!$D630,products!$A$1:$A$49,0),MATCH(orders!K$1,products!$A$1:$G$1,0))</f>
        <v>0.2</v>
      </c>
      <c r="L630" s="7">
        <f>INDEX(products!$A$1:$G$49,MATCH(orders!$D630,products!$A$1:$A$49,0),MATCH(orders!L$1,products!$A$1:$G$1,0))</f>
        <v>4.4550000000000001</v>
      </c>
      <c r="M630" s="7">
        <f t="shared" si="27"/>
        <v>26.73</v>
      </c>
      <c r="N630" t="str">
        <f t="shared" si="28"/>
        <v>Excelsa</v>
      </c>
      <c r="O630" t="str">
        <f t="shared" si="29"/>
        <v>Light</v>
      </c>
      <c r="P630" t="str">
        <f>_xlfn.XLOOKUP(Table1[[#This Row],[Customer ID]],customers!$A$1:$A$1001,customers!$I$1:$I$1001,,0)</f>
        <v>Yes</v>
      </c>
    </row>
    <row r="631" spans="1:16" x14ac:dyDescent="0.2">
      <c r="A631" s="2" t="s">
        <v>4035</v>
      </c>
      <c r="B631" s="3">
        <v>44680</v>
      </c>
      <c r="C631" s="2" t="s">
        <v>4036</v>
      </c>
      <c r="D631" t="s">
        <v>6169</v>
      </c>
      <c r="E631" s="2">
        <v>4</v>
      </c>
      <c r="F631" s="2" t="str">
        <f>_xlfn.XLOOKUP(C631,customers!$A630:$A1630,customers!$B630:$B1630,,0)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5">
        <f>INDEX(products!$A$1:$G$49,MATCH(orders!$D631,products!$A$1:$A$49,0),MATCH(orders!K$1,products!$A$1:$G$1,0))</f>
        <v>0.5</v>
      </c>
      <c r="L631" s="7">
        <f>INDEX(products!$A$1:$G$49,MATCH(orders!$D631,products!$A$1:$A$49,0),MATCH(orders!L$1,products!$A$1:$G$1,0))</f>
        <v>7.77</v>
      </c>
      <c r="M631" s="7">
        <f t="shared" si="27"/>
        <v>31.08</v>
      </c>
      <c r="N631" t="str">
        <f t="shared" si="28"/>
        <v>Liberica</v>
      </c>
      <c r="O631" t="str">
        <f t="shared" si="29"/>
        <v>Dark</v>
      </c>
      <c r="P631" t="str">
        <f>_xlfn.XLOOKUP(Table1[[#This Row],[Customer ID]],customers!$A$1:$A$1001,customers!$I$1:$I$1001,,0)</f>
        <v>Yes</v>
      </c>
    </row>
    <row r="632" spans="1:16" x14ac:dyDescent="0.2">
      <c r="A632" s="2" t="s">
        <v>4035</v>
      </c>
      <c r="B632" s="3">
        <v>44680</v>
      </c>
      <c r="C632" s="2" t="s">
        <v>4036</v>
      </c>
      <c r="D632" t="s">
        <v>6154</v>
      </c>
      <c r="E632" s="2">
        <v>1</v>
      </c>
      <c r="F632" s="2" t="e">
        <f>_xlfn.XLOOKUP(C632,customers!$A631:$A1631,customers!$B631:$B1631,,0)</f>
        <v>#N/A</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5">
        <f>INDEX(products!$A$1:$G$49,MATCH(orders!$D632,products!$A$1:$A$49,0),MATCH(orders!K$1,products!$A$1:$G$1,0))</f>
        <v>0.2</v>
      </c>
      <c r="L632" s="7">
        <f>INDEX(products!$A$1:$G$49,MATCH(orders!$D632,products!$A$1:$A$49,0),MATCH(orders!L$1,products!$A$1:$G$1,0))</f>
        <v>2.9849999999999999</v>
      </c>
      <c r="M632" s="7">
        <f t="shared" si="27"/>
        <v>2.9849999999999999</v>
      </c>
      <c r="N632" t="str">
        <f t="shared" si="28"/>
        <v>Arabica</v>
      </c>
      <c r="O632" t="str">
        <f t="shared" si="29"/>
        <v>Dark</v>
      </c>
      <c r="P632" t="str">
        <f>_xlfn.XLOOKUP(Table1[[#This Row],[Customer ID]],customers!$A$1:$A$1001,customers!$I$1:$I$1001,,0)</f>
        <v>Yes</v>
      </c>
    </row>
    <row r="633" spans="1:16" x14ac:dyDescent="0.2">
      <c r="A633" s="2" t="s">
        <v>4035</v>
      </c>
      <c r="B633" s="3">
        <v>44680</v>
      </c>
      <c r="C633" s="2" t="s">
        <v>4036</v>
      </c>
      <c r="D633" t="s">
        <v>6149</v>
      </c>
      <c r="E633" s="2">
        <v>5</v>
      </c>
      <c r="F633" s="2" t="e">
        <f>_xlfn.XLOOKUP(C633,customers!$A632:$A1632,customers!$B632:$B1632,,0)</f>
        <v>#N/A</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5">
        <f>INDEX(products!$A$1:$G$49,MATCH(orders!$D633,products!$A$1:$A$49,0),MATCH(orders!K$1,products!$A$1:$G$1,0))</f>
        <v>2.5</v>
      </c>
      <c r="L633" s="7">
        <f>INDEX(products!$A$1:$G$49,MATCH(orders!$D633,products!$A$1:$A$49,0),MATCH(orders!L$1,products!$A$1:$G$1,0))</f>
        <v>20.584999999999997</v>
      </c>
      <c r="M633" s="7">
        <f t="shared" si="27"/>
        <v>102.92499999999998</v>
      </c>
      <c r="N633" t="str">
        <f t="shared" si="28"/>
        <v>Robusta</v>
      </c>
      <c r="O633" t="str">
        <f t="shared" si="29"/>
        <v>Dark</v>
      </c>
      <c r="P633" t="str">
        <f>_xlfn.XLOOKUP(Table1[[#This Row],[Customer ID]],customers!$A$1:$A$1001,customers!$I$1:$I$1001,,0)</f>
        <v>Yes</v>
      </c>
    </row>
    <row r="634" spans="1:16" x14ac:dyDescent="0.2">
      <c r="A634" s="2" t="s">
        <v>4056</v>
      </c>
      <c r="B634" s="3">
        <v>44049</v>
      </c>
      <c r="C634" s="2" t="s">
        <v>4057</v>
      </c>
      <c r="D634" t="s">
        <v>6176</v>
      </c>
      <c r="E634" s="2">
        <v>4</v>
      </c>
      <c r="F634" s="2" t="str">
        <f>_xlfn.XLOOKUP(C634,customers!$A633:$A1633,customers!$B633:$B1633,,0)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5">
        <f>INDEX(products!$A$1:$G$49,MATCH(orders!$D634,products!$A$1:$A$49,0),MATCH(orders!K$1,products!$A$1:$G$1,0))</f>
        <v>0.5</v>
      </c>
      <c r="L634" s="7">
        <f>INDEX(products!$A$1:$G$49,MATCH(orders!$D634,products!$A$1:$A$49,0),MATCH(orders!L$1,products!$A$1:$G$1,0))</f>
        <v>8.91</v>
      </c>
      <c r="M634" s="7">
        <f t="shared" si="27"/>
        <v>35.64</v>
      </c>
      <c r="N634" t="str">
        <f t="shared" si="28"/>
        <v>Excelsa</v>
      </c>
      <c r="O634" t="str">
        <f t="shared" si="29"/>
        <v>Light</v>
      </c>
      <c r="P634" t="str">
        <f>_xlfn.XLOOKUP(Table1[[#This Row],[Customer ID]],customers!$A$1:$A$1001,customers!$I$1:$I$1001,,0)</f>
        <v>No</v>
      </c>
    </row>
    <row r="635" spans="1:16" x14ac:dyDescent="0.2">
      <c r="A635" s="2" t="s">
        <v>4062</v>
      </c>
      <c r="B635" s="3">
        <v>43820</v>
      </c>
      <c r="C635" s="2" t="s">
        <v>4063</v>
      </c>
      <c r="D635" t="s">
        <v>6179</v>
      </c>
      <c r="E635" s="2">
        <v>4</v>
      </c>
      <c r="F635" s="2" t="str">
        <f>_xlfn.XLOOKUP(C635,customers!$A634:$A1634,customers!$B634:$B1634,,0)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5">
        <f>INDEX(products!$A$1:$G$49,MATCH(orders!$D635,products!$A$1:$A$49,0),MATCH(orders!K$1,products!$A$1:$G$1,0))</f>
        <v>1</v>
      </c>
      <c r="L635" s="7">
        <f>INDEX(products!$A$1:$G$49,MATCH(orders!$D635,products!$A$1:$A$49,0),MATCH(orders!L$1,products!$A$1:$G$1,0))</f>
        <v>11.95</v>
      </c>
      <c r="M635" s="7">
        <f t="shared" si="27"/>
        <v>47.8</v>
      </c>
      <c r="N635" t="str">
        <f t="shared" si="28"/>
        <v>Robusta</v>
      </c>
      <c r="O635" t="str">
        <f t="shared" si="29"/>
        <v>Light</v>
      </c>
      <c r="P635" t="str">
        <f>_xlfn.XLOOKUP(Table1[[#This Row],[Customer ID]],customers!$A$1:$A$1001,customers!$I$1:$I$1001,,0)</f>
        <v>No</v>
      </c>
    </row>
    <row r="636" spans="1:16" x14ac:dyDescent="0.2">
      <c r="A636" s="2" t="s">
        <v>4068</v>
      </c>
      <c r="B636" s="3">
        <v>43940</v>
      </c>
      <c r="C636" s="2" t="s">
        <v>4069</v>
      </c>
      <c r="D636" t="s">
        <v>6162</v>
      </c>
      <c r="E636" s="2">
        <v>3</v>
      </c>
      <c r="F636" s="2" t="str">
        <f>_xlfn.XLOOKUP(C636,customers!$A635:$A1635,customers!$B635:$B1635,,0)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5">
        <f>INDEX(products!$A$1:$G$49,MATCH(orders!$D636,products!$A$1:$A$49,0),MATCH(orders!K$1,products!$A$1:$G$1,0))</f>
        <v>1</v>
      </c>
      <c r="L636" s="7">
        <f>INDEX(products!$A$1:$G$49,MATCH(orders!$D636,products!$A$1:$A$49,0),MATCH(orders!L$1,products!$A$1:$G$1,0))</f>
        <v>14.55</v>
      </c>
      <c r="M636" s="7">
        <f t="shared" si="27"/>
        <v>43.650000000000006</v>
      </c>
      <c r="N636" t="str">
        <f t="shared" si="28"/>
        <v>Liberica</v>
      </c>
      <c r="O636" t="str">
        <f t="shared" si="29"/>
        <v>Medium</v>
      </c>
      <c r="P636" t="str">
        <f>_xlfn.XLOOKUP(Table1[[#This Row],[Customer ID]],customers!$A$1:$A$1001,customers!$I$1:$I$1001,,0)</f>
        <v>No</v>
      </c>
    </row>
    <row r="637" spans="1:16" x14ac:dyDescent="0.2">
      <c r="A637" s="2" t="s">
        <v>4074</v>
      </c>
      <c r="B637" s="3">
        <v>44578</v>
      </c>
      <c r="C637" s="2" t="s">
        <v>4075</v>
      </c>
      <c r="D637" t="s">
        <v>6176</v>
      </c>
      <c r="E637" s="2">
        <v>4</v>
      </c>
      <c r="F637" s="2" t="str">
        <f>_xlfn.XLOOKUP(C637,customers!$A636:$A1636,customers!$B636:$B1636,,0)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5">
        <f>INDEX(products!$A$1:$G$49,MATCH(orders!$D637,products!$A$1:$A$49,0),MATCH(orders!K$1,products!$A$1:$G$1,0))</f>
        <v>0.5</v>
      </c>
      <c r="L637" s="7">
        <f>INDEX(products!$A$1:$G$49,MATCH(orders!$D637,products!$A$1:$A$49,0),MATCH(orders!L$1,products!$A$1:$G$1,0))</f>
        <v>8.91</v>
      </c>
      <c r="M637" s="7">
        <f t="shared" si="27"/>
        <v>35.64</v>
      </c>
      <c r="N637" t="str">
        <f t="shared" si="28"/>
        <v>Excelsa</v>
      </c>
      <c r="O637" t="str">
        <f t="shared" si="29"/>
        <v>Light</v>
      </c>
      <c r="P637" t="str">
        <f>_xlfn.XLOOKUP(Table1[[#This Row],[Customer ID]],customers!$A$1:$A$1001,customers!$I$1:$I$1001,,0)</f>
        <v>Yes</v>
      </c>
    </row>
    <row r="638" spans="1:16" x14ac:dyDescent="0.2">
      <c r="A638" s="2" t="s">
        <v>4080</v>
      </c>
      <c r="B638" s="3">
        <v>43487</v>
      </c>
      <c r="C638" s="2" t="s">
        <v>4081</v>
      </c>
      <c r="D638" t="s">
        <v>6170</v>
      </c>
      <c r="E638" s="2">
        <v>6</v>
      </c>
      <c r="F638" s="2" t="str">
        <f>_xlfn.XLOOKUP(C638,customers!$A637:$A1637,customers!$B637:$B1637,,0)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5">
        <f>INDEX(products!$A$1:$G$49,MATCH(orders!$D638,products!$A$1:$A$49,0),MATCH(orders!K$1,products!$A$1:$G$1,0))</f>
        <v>1</v>
      </c>
      <c r="L638" s="7">
        <f>INDEX(products!$A$1:$G$49,MATCH(orders!$D638,products!$A$1:$A$49,0),MATCH(orders!L$1,products!$A$1:$G$1,0))</f>
        <v>15.85</v>
      </c>
      <c r="M638" s="7">
        <f t="shared" si="27"/>
        <v>95.1</v>
      </c>
      <c r="N638" t="str">
        <f t="shared" si="28"/>
        <v>Liberica</v>
      </c>
      <c r="O638" t="str">
        <f t="shared" si="29"/>
        <v>Light</v>
      </c>
      <c r="P638" t="str">
        <f>_xlfn.XLOOKUP(Table1[[#This Row],[Customer ID]],customers!$A$1:$A$1001,customers!$I$1:$I$1001,,0)</f>
        <v>Yes</v>
      </c>
    </row>
    <row r="639" spans="1:16" x14ac:dyDescent="0.2">
      <c r="A639" s="2" t="s">
        <v>4086</v>
      </c>
      <c r="B639" s="3">
        <v>43889</v>
      </c>
      <c r="C639" s="2" t="s">
        <v>4087</v>
      </c>
      <c r="D639" t="s">
        <v>6166</v>
      </c>
      <c r="E639" s="2">
        <v>1</v>
      </c>
      <c r="F639" s="2" t="str">
        <f>_xlfn.XLOOKUP(C639,customers!$A638:$A1638,customers!$B638:$B1638,,0)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5">
        <f>INDEX(products!$A$1:$G$49,MATCH(orders!$D639,products!$A$1:$A$49,0),MATCH(orders!K$1,products!$A$1:$G$1,0))</f>
        <v>2.5</v>
      </c>
      <c r="L639" s="7">
        <f>INDEX(products!$A$1:$G$49,MATCH(orders!$D639,products!$A$1:$A$49,0),MATCH(orders!L$1,products!$A$1:$G$1,0))</f>
        <v>31.624999999999996</v>
      </c>
      <c r="M639" s="7">
        <f t="shared" si="27"/>
        <v>31.624999999999996</v>
      </c>
      <c r="N639" t="str">
        <f t="shared" si="28"/>
        <v>Excelsa</v>
      </c>
      <c r="O639" t="str">
        <f t="shared" si="29"/>
        <v>Medium</v>
      </c>
      <c r="P639" t="str">
        <f>_xlfn.XLOOKUP(Table1[[#This Row],[Customer ID]],customers!$A$1:$A$1001,customers!$I$1:$I$1001,,0)</f>
        <v>Yes</v>
      </c>
    </row>
    <row r="640" spans="1:16" x14ac:dyDescent="0.2">
      <c r="A640" s="2" t="s">
        <v>4093</v>
      </c>
      <c r="B640" s="3">
        <v>43684</v>
      </c>
      <c r="C640" s="2" t="s">
        <v>4094</v>
      </c>
      <c r="D640" t="s">
        <v>6175</v>
      </c>
      <c r="E640" s="2">
        <v>3</v>
      </c>
      <c r="F640" s="2" t="str">
        <f>_xlfn.XLOOKUP(C640,customers!$A639:$A1639,customers!$B639:$B1639,,0)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5">
        <f>INDEX(products!$A$1:$G$49,MATCH(orders!$D640,products!$A$1:$A$49,0),MATCH(orders!K$1,products!$A$1:$G$1,0))</f>
        <v>2.5</v>
      </c>
      <c r="L640" s="7">
        <f>INDEX(products!$A$1:$G$49,MATCH(orders!$D640,products!$A$1:$A$49,0),MATCH(orders!L$1,products!$A$1:$G$1,0))</f>
        <v>25.874999999999996</v>
      </c>
      <c r="M640" s="7">
        <f t="shared" si="27"/>
        <v>77.624999999999986</v>
      </c>
      <c r="N640" t="str">
        <f t="shared" si="28"/>
        <v>Arabica</v>
      </c>
      <c r="O640" t="str">
        <f t="shared" si="29"/>
        <v>Medium</v>
      </c>
      <c r="P640" t="str">
        <f>_xlfn.XLOOKUP(Table1[[#This Row],[Customer ID]],customers!$A$1:$A$1001,customers!$I$1:$I$1001,,0)</f>
        <v>Yes</v>
      </c>
    </row>
    <row r="641" spans="1:16" x14ac:dyDescent="0.2">
      <c r="A641" s="2" t="s">
        <v>4098</v>
      </c>
      <c r="B641" s="3">
        <v>44331</v>
      </c>
      <c r="C641" s="2" t="s">
        <v>4099</v>
      </c>
      <c r="D641" t="s">
        <v>6150</v>
      </c>
      <c r="E641" s="2">
        <v>1</v>
      </c>
      <c r="F641" s="2" t="str">
        <f>_xlfn.XLOOKUP(C641,customers!$A640:$A1640,customers!$B640:$B1640,,0)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5">
        <f>INDEX(products!$A$1:$G$49,MATCH(orders!$D641,products!$A$1:$A$49,0),MATCH(orders!K$1,products!$A$1:$G$1,0))</f>
        <v>0.2</v>
      </c>
      <c r="L641" s="7">
        <f>INDEX(products!$A$1:$G$49,MATCH(orders!$D641,products!$A$1:$A$49,0),MATCH(orders!L$1,products!$A$1:$G$1,0))</f>
        <v>3.8849999999999998</v>
      </c>
      <c r="M641" s="7">
        <f t="shared" si="27"/>
        <v>3.8849999999999998</v>
      </c>
      <c r="N641" t="str">
        <f t="shared" si="28"/>
        <v>Liberica</v>
      </c>
      <c r="O641" t="str">
        <f t="shared" si="29"/>
        <v>Dark</v>
      </c>
      <c r="P641" t="str">
        <f>_xlfn.XLOOKUP(Table1[[#This Row],[Customer ID]],customers!$A$1:$A$1001,customers!$I$1:$I$1001,,0)</f>
        <v>Yes</v>
      </c>
    </row>
    <row r="642" spans="1:16" x14ac:dyDescent="0.2">
      <c r="A642" s="2" t="s">
        <v>4104</v>
      </c>
      <c r="B642" s="3">
        <v>44547</v>
      </c>
      <c r="C642" s="2" t="s">
        <v>4152</v>
      </c>
      <c r="D642" t="s">
        <v>6142</v>
      </c>
      <c r="E642" s="2">
        <v>5</v>
      </c>
      <c r="F642" s="2" t="str">
        <f>_xlfn.XLOOKUP(C642,customers!$A641:$A1641,customers!$B641:$B1641,,0)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5">
        <f>INDEX(products!$A$1:$G$49,MATCH(orders!$D642,products!$A$1:$A$49,0),MATCH(orders!K$1,products!$A$1:$G$1,0))</f>
        <v>2.5</v>
      </c>
      <c r="L642" s="7">
        <f>INDEX(products!$A$1:$G$49,MATCH(orders!$D642,products!$A$1:$A$49,0),MATCH(orders!L$1,products!$A$1:$G$1,0))</f>
        <v>27.484999999999996</v>
      </c>
      <c r="M642" s="7">
        <f t="shared" si="27"/>
        <v>137.42499999999998</v>
      </c>
      <c r="N642" t="str">
        <f t="shared" si="28"/>
        <v>Robusta</v>
      </c>
      <c r="O642" t="str">
        <f t="shared" si="29"/>
        <v>Light</v>
      </c>
      <c r="P642" t="str">
        <f>_xlfn.XLOOKUP(Table1[[#This Row],[Customer ID]],customers!$A$1:$A$1001,customers!$I$1:$I$1001,,0)</f>
        <v>No</v>
      </c>
    </row>
    <row r="643" spans="1:16" x14ac:dyDescent="0.2">
      <c r="A643" s="2" t="s">
        <v>4109</v>
      </c>
      <c r="B643" s="3">
        <v>44448</v>
      </c>
      <c r="C643" s="2" t="s">
        <v>4110</v>
      </c>
      <c r="D643" t="s">
        <v>6179</v>
      </c>
      <c r="E643" s="2">
        <v>3</v>
      </c>
      <c r="F643" s="2" t="str">
        <f>_xlfn.XLOOKUP(C643,customers!$A642:$A1642,customers!$B642:$B1642,,0)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5">
        <f>INDEX(products!$A$1:$G$49,MATCH(orders!$D643,products!$A$1:$A$49,0),MATCH(orders!K$1,products!$A$1:$G$1,0))</f>
        <v>1</v>
      </c>
      <c r="L643" s="7">
        <f>INDEX(products!$A$1:$G$49,MATCH(orders!$D643,products!$A$1:$A$49,0),MATCH(orders!L$1,products!$A$1:$G$1,0))</f>
        <v>11.95</v>
      </c>
      <c r="M643" s="7">
        <f t="shared" ref="M643:M706" si="30">L643*E643</f>
        <v>35.849999999999994</v>
      </c>
      <c r="N643" t="str">
        <f t="shared" ref="N643:N706" si="31">IF(I643="Rob","Robusta",IF(I643="Ara","Arabica",IF(I643="Exc","Excelsa",IF(I643="Lib","Liberica",""))))</f>
        <v>Robusta</v>
      </c>
      <c r="O643" t="str">
        <f t="shared" ref="O643:O706" si="32">IF(J643="M","Medium",IF(J643="L","Light",IF(J643="D","Dark","")))</f>
        <v>Light</v>
      </c>
      <c r="P643" t="str">
        <f>_xlfn.XLOOKUP(Table1[[#This Row],[Customer ID]],customers!$A$1:$A$1001,customers!$I$1:$I$1001,,0)</f>
        <v>Yes</v>
      </c>
    </row>
    <row r="644" spans="1:16" x14ac:dyDescent="0.2">
      <c r="A644" s="2" t="s">
        <v>4115</v>
      </c>
      <c r="B644" s="3">
        <v>43880</v>
      </c>
      <c r="C644" s="2" t="s">
        <v>4116</v>
      </c>
      <c r="D644" t="s">
        <v>6156</v>
      </c>
      <c r="E644" s="2">
        <v>2</v>
      </c>
      <c r="F644" s="2" t="str">
        <f>_xlfn.XLOOKUP(C644,customers!$A643:$A1643,customers!$B643:$B1643,,0)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5">
        <f>INDEX(products!$A$1:$G$49,MATCH(orders!$D644,products!$A$1:$A$49,0),MATCH(orders!K$1,products!$A$1:$G$1,0))</f>
        <v>0.2</v>
      </c>
      <c r="L644" s="7">
        <f>INDEX(products!$A$1:$G$49,MATCH(orders!$D644,products!$A$1:$A$49,0),MATCH(orders!L$1,products!$A$1:$G$1,0))</f>
        <v>4.125</v>
      </c>
      <c r="M644" s="7">
        <f t="shared" si="30"/>
        <v>8.25</v>
      </c>
      <c r="N644" t="str">
        <f t="shared" si="31"/>
        <v>Excelsa</v>
      </c>
      <c r="O644" t="str">
        <f t="shared" si="32"/>
        <v>Medium</v>
      </c>
      <c r="P644" t="str">
        <f>_xlfn.XLOOKUP(Table1[[#This Row],[Customer ID]],customers!$A$1:$A$1001,customers!$I$1:$I$1001,,0)</f>
        <v>Yes</v>
      </c>
    </row>
    <row r="645" spans="1:16" x14ac:dyDescent="0.2">
      <c r="A645" s="2" t="s">
        <v>4123</v>
      </c>
      <c r="B645" s="3">
        <v>44011</v>
      </c>
      <c r="C645" s="2" t="s">
        <v>4124</v>
      </c>
      <c r="D645" t="s">
        <v>6148</v>
      </c>
      <c r="E645" s="2">
        <v>3</v>
      </c>
      <c r="F645" s="2" t="str">
        <f>_xlfn.XLOOKUP(C645,customers!$A644:$A1644,customers!$B644:$B1644,,0)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5">
        <f>INDEX(products!$A$1:$G$49,MATCH(orders!$D645,products!$A$1:$A$49,0),MATCH(orders!K$1,products!$A$1:$G$1,0))</f>
        <v>2.5</v>
      </c>
      <c r="L645" s="7">
        <f>INDEX(products!$A$1:$G$49,MATCH(orders!$D645,products!$A$1:$A$49,0),MATCH(orders!L$1,products!$A$1:$G$1,0))</f>
        <v>34.154999999999994</v>
      </c>
      <c r="M645" s="7">
        <f t="shared" si="30"/>
        <v>102.46499999999997</v>
      </c>
      <c r="N645" t="str">
        <f t="shared" si="31"/>
        <v>Excelsa</v>
      </c>
      <c r="O645" t="str">
        <f t="shared" si="32"/>
        <v>Light</v>
      </c>
      <c r="P645" t="str">
        <f>_xlfn.XLOOKUP(Table1[[#This Row],[Customer ID]],customers!$A$1:$A$1001,customers!$I$1:$I$1001,,0)</f>
        <v>Yes</v>
      </c>
    </row>
    <row r="646" spans="1:16" x14ac:dyDescent="0.2">
      <c r="A646" s="2" t="s">
        <v>4128</v>
      </c>
      <c r="B646" s="3">
        <v>44694</v>
      </c>
      <c r="C646" s="2" t="s">
        <v>4129</v>
      </c>
      <c r="D646" t="s">
        <v>6149</v>
      </c>
      <c r="E646" s="2">
        <v>2</v>
      </c>
      <c r="F646" s="2" t="str">
        <f>_xlfn.XLOOKUP(C646,customers!$A645:$A1645,customers!$B645:$B1645,,0)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5">
        <f>INDEX(products!$A$1:$G$49,MATCH(orders!$D646,products!$A$1:$A$49,0),MATCH(orders!K$1,products!$A$1:$G$1,0))</f>
        <v>2.5</v>
      </c>
      <c r="L646" s="7">
        <f>INDEX(products!$A$1:$G$49,MATCH(orders!$D646,products!$A$1:$A$49,0),MATCH(orders!L$1,products!$A$1:$G$1,0))</f>
        <v>20.584999999999997</v>
      </c>
      <c r="M646" s="7">
        <f t="shared" si="30"/>
        <v>41.169999999999995</v>
      </c>
      <c r="N646" t="str">
        <f t="shared" si="31"/>
        <v>Robusta</v>
      </c>
      <c r="O646" t="str">
        <f t="shared" si="32"/>
        <v>Dark</v>
      </c>
      <c r="P646" t="str">
        <f>_xlfn.XLOOKUP(Table1[[#This Row],[Customer ID]],customers!$A$1:$A$1001,customers!$I$1:$I$1001,,0)</f>
        <v>No</v>
      </c>
    </row>
    <row r="647" spans="1:16" x14ac:dyDescent="0.2">
      <c r="A647" s="2" t="s">
        <v>4133</v>
      </c>
      <c r="B647" s="3">
        <v>44106</v>
      </c>
      <c r="C647" s="2" t="s">
        <v>4134</v>
      </c>
      <c r="D647" t="s">
        <v>6168</v>
      </c>
      <c r="E647" s="2">
        <v>3</v>
      </c>
      <c r="F647" s="2" t="str">
        <f>_xlfn.XLOOKUP(C647,customers!$A646:$A1646,customers!$B646:$B1646,,0)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5">
        <f>INDEX(products!$A$1:$G$49,MATCH(orders!$D647,products!$A$1:$A$49,0),MATCH(orders!K$1,products!$A$1:$G$1,0))</f>
        <v>2.5</v>
      </c>
      <c r="L647" s="7">
        <f>INDEX(products!$A$1:$G$49,MATCH(orders!$D647,products!$A$1:$A$49,0),MATCH(orders!L$1,products!$A$1:$G$1,0))</f>
        <v>22.884999999999998</v>
      </c>
      <c r="M647" s="7">
        <f t="shared" si="30"/>
        <v>68.655000000000001</v>
      </c>
      <c r="N647" t="str">
        <f t="shared" si="31"/>
        <v>Arabica</v>
      </c>
      <c r="O647" t="str">
        <f t="shared" si="32"/>
        <v>Dark</v>
      </c>
      <c r="P647" t="str">
        <f>_xlfn.XLOOKUP(Table1[[#This Row],[Customer ID]],customers!$A$1:$A$1001,customers!$I$1:$I$1001,,0)</f>
        <v>Yes</v>
      </c>
    </row>
    <row r="648" spans="1:16" x14ac:dyDescent="0.2">
      <c r="A648" s="2" t="s">
        <v>4139</v>
      </c>
      <c r="B648" s="3">
        <v>44532</v>
      </c>
      <c r="C648" s="2" t="s">
        <v>4140</v>
      </c>
      <c r="D648" t="s">
        <v>6147</v>
      </c>
      <c r="E648" s="2">
        <v>1</v>
      </c>
      <c r="F648" s="2" t="str">
        <f>_xlfn.XLOOKUP(C648,customers!$A647:$A1647,customers!$B647:$B1647,,0)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5">
        <f>INDEX(products!$A$1:$G$49,MATCH(orders!$D648,products!$A$1:$A$49,0),MATCH(orders!K$1,products!$A$1:$G$1,0))</f>
        <v>1</v>
      </c>
      <c r="L648" s="7">
        <f>INDEX(products!$A$1:$G$49,MATCH(orders!$D648,products!$A$1:$A$49,0),MATCH(orders!L$1,products!$A$1:$G$1,0))</f>
        <v>9.9499999999999993</v>
      </c>
      <c r="M648" s="7">
        <f t="shared" si="30"/>
        <v>9.9499999999999993</v>
      </c>
      <c r="N648" t="str">
        <f t="shared" si="31"/>
        <v>Arabica</v>
      </c>
      <c r="O648" t="str">
        <f t="shared" si="32"/>
        <v>Dark</v>
      </c>
      <c r="P648" t="str">
        <f>_xlfn.XLOOKUP(Table1[[#This Row],[Customer ID]],customers!$A$1:$A$1001,customers!$I$1:$I$1001,,0)</f>
        <v>Yes</v>
      </c>
    </row>
    <row r="649" spans="1:16" x14ac:dyDescent="0.2">
      <c r="A649" s="2" t="s">
        <v>4145</v>
      </c>
      <c r="B649" s="3">
        <v>44502</v>
      </c>
      <c r="C649" s="2" t="s">
        <v>4146</v>
      </c>
      <c r="D649" t="s">
        <v>6161</v>
      </c>
      <c r="E649" s="2">
        <v>3</v>
      </c>
      <c r="F649" s="2" t="str">
        <f>_xlfn.XLOOKUP(C649,customers!$A648:$A1648,customers!$B648:$B1648,,0)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5">
        <f>INDEX(products!$A$1:$G$49,MATCH(orders!$D649,products!$A$1:$A$49,0),MATCH(orders!K$1,products!$A$1:$G$1,0))</f>
        <v>0.5</v>
      </c>
      <c r="L649" s="7">
        <f>INDEX(products!$A$1:$G$49,MATCH(orders!$D649,products!$A$1:$A$49,0),MATCH(orders!L$1,products!$A$1:$G$1,0))</f>
        <v>9.51</v>
      </c>
      <c r="M649" s="7">
        <f t="shared" si="30"/>
        <v>28.53</v>
      </c>
      <c r="N649" t="str">
        <f t="shared" si="31"/>
        <v>Liberica</v>
      </c>
      <c r="O649" t="str">
        <f t="shared" si="32"/>
        <v>Light</v>
      </c>
      <c r="P649" t="str">
        <f>_xlfn.XLOOKUP(Table1[[#This Row],[Customer ID]],customers!$A$1:$A$1001,customers!$I$1:$I$1001,,0)</f>
        <v>Yes</v>
      </c>
    </row>
    <row r="650" spans="1:16" x14ac:dyDescent="0.2">
      <c r="A650" s="2" t="s">
        <v>4151</v>
      </c>
      <c r="B650" s="3">
        <v>43884</v>
      </c>
      <c r="C650" s="2" t="s">
        <v>4152</v>
      </c>
      <c r="D650" t="s">
        <v>6163</v>
      </c>
      <c r="E650" s="2">
        <v>6</v>
      </c>
      <c r="F650" s="2" t="str">
        <f>_xlfn.XLOOKUP(C650,customers!$A649:$A1649,customers!$B649:$B1649,,0)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5">
        <f>INDEX(products!$A$1:$G$49,MATCH(orders!$D650,products!$A$1:$A$49,0),MATCH(orders!K$1,products!$A$1:$G$1,0))</f>
        <v>0.2</v>
      </c>
      <c r="L650" s="7">
        <f>INDEX(products!$A$1:$G$49,MATCH(orders!$D650,products!$A$1:$A$49,0),MATCH(orders!L$1,products!$A$1:$G$1,0))</f>
        <v>2.6849999999999996</v>
      </c>
      <c r="M650" s="7">
        <f t="shared" si="30"/>
        <v>16.11</v>
      </c>
      <c r="N650" t="str">
        <f t="shared" si="31"/>
        <v>Robusta</v>
      </c>
      <c r="O650" t="str">
        <f t="shared" si="32"/>
        <v>Dark</v>
      </c>
      <c r="P650" t="str">
        <f>_xlfn.XLOOKUP(Table1[[#This Row],[Customer ID]],customers!$A$1:$A$1001,customers!$I$1:$I$1001,,0)</f>
        <v>No</v>
      </c>
    </row>
    <row r="651" spans="1:16" x14ac:dyDescent="0.2">
      <c r="A651" s="2" t="s">
        <v>4157</v>
      </c>
      <c r="B651" s="3">
        <v>44015</v>
      </c>
      <c r="C651" s="2" t="s">
        <v>4158</v>
      </c>
      <c r="D651" t="s">
        <v>6170</v>
      </c>
      <c r="E651" s="2">
        <v>6</v>
      </c>
      <c r="F651" s="2" t="str">
        <f>_xlfn.XLOOKUP(C651,customers!$A650:$A1650,customers!$B650:$B1650,,0)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5">
        <f>INDEX(products!$A$1:$G$49,MATCH(orders!$D651,products!$A$1:$A$49,0),MATCH(orders!K$1,products!$A$1:$G$1,0))</f>
        <v>1</v>
      </c>
      <c r="L651" s="7">
        <f>INDEX(products!$A$1:$G$49,MATCH(orders!$D651,products!$A$1:$A$49,0),MATCH(orders!L$1,products!$A$1:$G$1,0))</f>
        <v>15.85</v>
      </c>
      <c r="M651" s="7">
        <f t="shared" si="30"/>
        <v>95.1</v>
      </c>
      <c r="N651" t="str">
        <f t="shared" si="31"/>
        <v>Liberica</v>
      </c>
      <c r="O651" t="str">
        <f t="shared" si="32"/>
        <v>Light</v>
      </c>
      <c r="P651" t="str">
        <f>_xlfn.XLOOKUP(Table1[[#This Row],[Customer ID]],customers!$A$1:$A$1001,customers!$I$1:$I$1001,,0)</f>
        <v>No</v>
      </c>
    </row>
    <row r="652" spans="1:16" x14ac:dyDescent="0.2">
      <c r="A652" s="2" t="s">
        <v>4163</v>
      </c>
      <c r="B652" s="3">
        <v>43507</v>
      </c>
      <c r="C652" s="2" t="s">
        <v>4164</v>
      </c>
      <c r="D652" t="s">
        <v>6172</v>
      </c>
      <c r="E652" s="2">
        <v>1</v>
      </c>
      <c r="F652" s="2" t="str">
        <f>_xlfn.XLOOKUP(C652,customers!$A651:$A1651,customers!$B651:$B1651,,0)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5">
        <f>INDEX(products!$A$1:$G$49,MATCH(orders!$D652,products!$A$1:$A$49,0),MATCH(orders!K$1,products!$A$1:$G$1,0))</f>
        <v>0.5</v>
      </c>
      <c r="L652" s="7">
        <f>INDEX(products!$A$1:$G$49,MATCH(orders!$D652,products!$A$1:$A$49,0),MATCH(orders!L$1,products!$A$1:$G$1,0))</f>
        <v>5.3699999999999992</v>
      </c>
      <c r="M652" s="7">
        <f t="shared" si="30"/>
        <v>5.3699999999999992</v>
      </c>
      <c r="N652" t="str">
        <f t="shared" si="31"/>
        <v>Robusta</v>
      </c>
      <c r="O652" t="str">
        <f t="shared" si="32"/>
        <v>Dark</v>
      </c>
      <c r="P652" t="str">
        <f>_xlfn.XLOOKUP(Table1[[#This Row],[Customer ID]],customers!$A$1:$A$1001,customers!$I$1:$I$1001,,0)</f>
        <v>Yes</v>
      </c>
    </row>
    <row r="653" spans="1:16" x14ac:dyDescent="0.2">
      <c r="A653" s="2" t="s">
        <v>4169</v>
      </c>
      <c r="B653" s="3">
        <v>44084</v>
      </c>
      <c r="C653" s="2" t="s">
        <v>4170</v>
      </c>
      <c r="D653" t="s">
        <v>6179</v>
      </c>
      <c r="E653" s="2">
        <v>4</v>
      </c>
      <c r="F653" s="2" t="str">
        <f>_xlfn.XLOOKUP(C653,customers!$A652:$A1652,customers!$B652:$B1652,,0)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5">
        <f>INDEX(products!$A$1:$G$49,MATCH(orders!$D653,products!$A$1:$A$49,0),MATCH(orders!K$1,products!$A$1:$G$1,0))</f>
        <v>1</v>
      </c>
      <c r="L653" s="7">
        <f>INDEX(products!$A$1:$G$49,MATCH(orders!$D653,products!$A$1:$A$49,0),MATCH(orders!L$1,products!$A$1:$G$1,0))</f>
        <v>11.95</v>
      </c>
      <c r="M653" s="7">
        <f t="shared" si="30"/>
        <v>47.8</v>
      </c>
      <c r="N653" t="str">
        <f t="shared" si="31"/>
        <v>Robusta</v>
      </c>
      <c r="O653" t="str">
        <f t="shared" si="32"/>
        <v>Light</v>
      </c>
      <c r="P653" t="str">
        <f>_xlfn.XLOOKUP(Table1[[#This Row],[Customer ID]],customers!$A$1:$A$1001,customers!$I$1:$I$1001,,0)</f>
        <v>No</v>
      </c>
    </row>
    <row r="654" spans="1:16" x14ac:dyDescent="0.2">
      <c r="A654" s="2" t="s">
        <v>4174</v>
      </c>
      <c r="B654" s="3">
        <v>43892</v>
      </c>
      <c r="C654" s="2" t="s">
        <v>4175</v>
      </c>
      <c r="D654" t="s">
        <v>6170</v>
      </c>
      <c r="E654" s="2">
        <v>4</v>
      </c>
      <c r="F654" s="2" t="str">
        <f>_xlfn.XLOOKUP(C654,customers!$A653:$A1653,customers!$B653:$B1653,,0)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5">
        <f>INDEX(products!$A$1:$G$49,MATCH(orders!$D654,products!$A$1:$A$49,0),MATCH(orders!K$1,products!$A$1:$G$1,0))</f>
        <v>1</v>
      </c>
      <c r="L654" s="7">
        <f>INDEX(products!$A$1:$G$49,MATCH(orders!$D654,products!$A$1:$A$49,0),MATCH(orders!L$1,products!$A$1:$G$1,0))</f>
        <v>15.85</v>
      </c>
      <c r="M654" s="7">
        <f t="shared" si="30"/>
        <v>63.4</v>
      </c>
      <c r="N654" t="str">
        <f t="shared" si="31"/>
        <v>Liberica</v>
      </c>
      <c r="O654" t="str">
        <f t="shared" si="32"/>
        <v>Light</v>
      </c>
      <c r="P654" t="str">
        <f>_xlfn.XLOOKUP(Table1[[#This Row],[Customer ID]],customers!$A$1:$A$1001,customers!$I$1:$I$1001,,0)</f>
        <v>No</v>
      </c>
    </row>
    <row r="655" spans="1:16" x14ac:dyDescent="0.2">
      <c r="A655" s="2" t="s">
        <v>4179</v>
      </c>
      <c r="B655" s="3">
        <v>44375</v>
      </c>
      <c r="C655" s="2" t="s">
        <v>4180</v>
      </c>
      <c r="D655" t="s">
        <v>6175</v>
      </c>
      <c r="E655" s="2">
        <v>4</v>
      </c>
      <c r="F655" s="2" t="str">
        <f>_xlfn.XLOOKUP(C655,customers!$A654:$A1654,customers!$B654:$B1654,,0)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5">
        <f>INDEX(products!$A$1:$G$49,MATCH(orders!$D655,products!$A$1:$A$49,0),MATCH(orders!K$1,products!$A$1:$G$1,0))</f>
        <v>2.5</v>
      </c>
      <c r="L655" s="7">
        <f>INDEX(products!$A$1:$G$49,MATCH(orders!$D655,products!$A$1:$A$49,0),MATCH(orders!L$1,products!$A$1:$G$1,0))</f>
        <v>25.874999999999996</v>
      </c>
      <c r="M655" s="7">
        <f t="shared" si="30"/>
        <v>103.49999999999999</v>
      </c>
      <c r="N655" t="str">
        <f t="shared" si="31"/>
        <v>Arabica</v>
      </c>
      <c r="O655" t="str">
        <f t="shared" si="32"/>
        <v>Medium</v>
      </c>
      <c r="P655" t="str">
        <f>_xlfn.XLOOKUP(Table1[[#This Row],[Customer ID]],customers!$A$1:$A$1001,customers!$I$1:$I$1001,,0)</f>
        <v>No</v>
      </c>
    </row>
    <row r="656" spans="1:16" x14ac:dyDescent="0.2">
      <c r="A656" s="2" t="s">
        <v>4185</v>
      </c>
      <c r="B656" s="3">
        <v>43476</v>
      </c>
      <c r="C656" s="2" t="s">
        <v>4186</v>
      </c>
      <c r="D656" t="s">
        <v>6168</v>
      </c>
      <c r="E656" s="2">
        <v>3</v>
      </c>
      <c r="F656" s="2" t="str">
        <f>_xlfn.XLOOKUP(C656,customers!$A655:$A1655,customers!$B655:$B1655,,0)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5">
        <f>INDEX(products!$A$1:$G$49,MATCH(orders!$D656,products!$A$1:$A$49,0),MATCH(orders!K$1,products!$A$1:$G$1,0))</f>
        <v>2.5</v>
      </c>
      <c r="L656" s="7">
        <f>INDEX(products!$A$1:$G$49,MATCH(orders!$D656,products!$A$1:$A$49,0),MATCH(orders!L$1,products!$A$1:$G$1,0))</f>
        <v>22.884999999999998</v>
      </c>
      <c r="M656" s="7">
        <f t="shared" si="30"/>
        <v>68.655000000000001</v>
      </c>
      <c r="N656" t="str">
        <f t="shared" si="31"/>
        <v>Arabica</v>
      </c>
      <c r="O656" t="str">
        <f t="shared" si="32"/>
        <v>Dark</v>
      </c>
      <c r="P656" t="str">
        <f>_xlfn.XLOOKUP(Table1[[#This Row],[Customer ID]],customers!$A$1:$A$1001,customers!$I$1:$I$1001,,0)</f>
        <v>No</v>
      </c>
    </row>
    <row r="657" spans="1:16" x14ac:dyDescent="0.2">
      <c r="A657" s="2" t="s">
        <v>4191</v>
      </c>
      <c r="B657" s="3">
        <v>43728</v>
      </c>
      <c r="C657" s="2" t="s">
        <v>4192</v>
      </c>
      <c r="D657" t="s">
        <v>6151</v>
      </c>
      <c r="E657" s="2">
        <v>2</v>
      </c>
      <c r="F657" s="2" t="str">
        <f>_xlfn.XLOOKUP(C657,customers!$A656:$A1656,customers!$B656:$B1656,,0)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5">
        <f>INDEX(products!$A$1:$G$49,MATCH(orders!$D657,products!$A$1:$A$49,0),MATCH(orders!K$1,products!$A$1:$G$1,0))</f>
        <v>2.5</v>
      </c>
      <c r="L657" s="7">
        <f>INDEX(products!$A$1:$G$49,MATCH(orders!$D657,products!$A$1:$A$49,0),MATCH(orders!L$1,products!$A$1:$G$1,0))</f>
        <v>22.884999999999998</v>
      </c>
      <c r="M657" s="7">
        <f t="shared" si="30"/>
        <v>45.769999999999996</v>
      </c>
      <c r="N657" t="str">
        <f t="shared" si="31"/>
        <v>Robusta</v>
      </c>
      <c r="O657" t="str">
        <f t="shared" si="32"/>
        <v>Medium</v>
      </c>
      <c r="P657" t="str">
        <f>_xlfn.XLOOKUP(Table1[[#This Row],[Customer ID]],customers!$A$1:$A$1001,customers!$I$1:$I$1001,,0)</f>
        <v>Yes</v>
      </c>
    </row>
    <row r="658" spans="1:16" x14ac:dyDescent="0.2">
      <c r="A658" s="2" t="s">
        <v>4196</v>
      </c>
      <c r="B658" s="3">
        <v>44485</v>
      </c>
      <c r="C658" s="2" t="s">
        <v>4197</v>
      </c>
      <c r="D658" t="s">
        <v>6143</v>
      </c>
      <c r="E658" s="2">
        <v>4</v>
      </c>
      <c r="F658" s="2" t="str">
        <f>_xlfn.XLOOKUP(C658,customers!$A657:$A1657,customers!$B657:$B1657,,0)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5">
        <f>INDEX(products!$A$1:$G$49,MATCH(orders!$D658,products!$A$1:$A$49,0),MATCH(orders!K$1,products!$A$1:$G$1,0))</f>
        <v>1</v>
      </c>
      <c r="L658" s="7">
        <f>INDEX(products!$A$1:$G$49,MATCH(orders!$D658,products!$A$1:$A$49,0),MATCH(orders!L$1,products!$A$1:$G$1,0))</f>
        <v>12.95</v>
      </c>
      <c r="M658" s="7">
        <f t="shared" si="30"/>
        <v>51.8</v>
      </c>
      <c r="N658" t="str">
        <f t="shared" si="31"/>
        <v>Liberica</v>
      </c>
      <c r="O658" t="str">
        <f t="shared" si="32"/>
        <v>Dark</v>
      </c>
      <c r="P658" t="str">
        <f>_xlfn.XLOOKUP(Table1[[#This Row],[Customer ID]],customers!$A$1:$A$1001,customers!$I$1:$I$1001,,0)</f>
        <v>No</v>
      </c>
    </row>
    <row r="659" spans="1:16" x14ac:dyDescent="0.2">
      <c r="A659" s="2" t="s">
        <v>4201</v>
      </c>
      <c r="B659" s="3">
        <v>43831</v>
      </c>
      <c r="C659" s="2" t="s">
        <v>4202</v>
      </c>
      <c r="D659" t="s">
        <v>6157</v>
      </c>
      <c r="E659" s="2">
        <v>2</v>
      </c>
      <c r="F659" s="2" t="str">
        <f>_xlfn.XLOOKUP(C659,customers!$A658:$A1658,customers!$B658:$B1658,,0)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5">
        <f>INDEX(products!$A$1:$G$49,MATCH(orders!$D659,products!$A$1:$A$49,0),MATCH(orders!K$1,products!$A$1:$G$1,0))</f>
        <v>0.5</v>
      </c>
      <c r="L659" s="7">
        <f>INDEX(products!$A$1:$G$49,MATCH(orders!$D659,products!$A$1:$A$49,0),MATCH(orders!L$1,products!$A$1:$G$1,0))</f>
        <v>6.75</v>
      </c>
      <c r="M659" s="7">
        <f t="shared" si="30"/>
        <v>13.5</v>
      </c>
      <c r="N659" t="str">
        <f t="shared" si="31"/>
        <v>Arabica</v>
      </c>
      <c r="O659" t="str">
        <f t="shared" si="32"/>
        <v>Medium</v>
      </c>
      <c r="P659" t="str">
        <f>_xlfn.XLOOKUP(Table1[[#This Row],[Customer ID]],customers!$A$1:$A$1001,customers!$I$1:$I$1001,,0)</f>
        <v>Yes</v>
      </c>
    </row>
    <row r="660" spans="1:16" x14ac:dyDescent="0.2">
      <c r="A660" s="2" t="s">
        <v>4207</v>
      </c>
      <c r="B660" s="3">
        <v>44630</v>
      </c>
      <c r="C660" s="2" t="s">
        <v>4263</v>
      </c>
      <c r="D660" t="s">
        <v>6139</v>
      </c>
      <c r="E660" s="2">
        <v>3</v>
      </c>
      <c r="F660" s="2" t="str">
        <f>_xlfn.XLOOKUP(C660,customers!$A659:$A1659,customers!$B659:$B1659,,0)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5">
        <f>INDEX(products!$A$1:$G$49,MATCH(orders!$D660,products!$A$1:$A$49,0),MATCH(orders!K$1,products!$A$1:$G$1,0))</f>
        <v>0.5</v>
      </c>
      <c r="L660" s="7">
        <f>INDEX(products!$A$1:$G$49,MATCH(orders!$D660,products!$A$1:$A$49,0),MATCH(orders!L$1,products!$A$1:$G$1,0))</f>
        <v>8.25</v>
      </c>
      <c r="M660" s="7">
        <f t="shared" si="30"/>
        <v>24.75</v>
      </c>
      <c r="N660" t="str">
        <f t="shared" si="31"/>
        <v>Excelsa</v>
      </c>
      <c r="O660" t="str">
        <f t="shared" si="32"/>
        <v>Medium</v>
      </c>
      <c r="P660" t="str">
        <f>_xlfn.XLOOKUP(Table1[[#This Row],[Customer ID]],customers!$A$1:$A$1001,customers!$I$1:$I$1001,,0)</f>
        <v>Yes</v>
      </c>
    </row>
    <row r="661" spans="1:16" x14ac:dyDescent="0.2">
      <c r="A661" s="2" t="s">
        <v>4211</v>
      </c>
      <c r="B661" s="3">
        <v>44693</v>
      </c>
      <c r="C661" s="2" t="s">
        <v>4212</v>
      </c>
      <c r="D661" t="s">
        <v>6168</v>
      </c>
      <c r="E661" s="2">
        <v>2</v>
      </c>
      <c r="F661" s="2" t="str">
        <f>_xlfn.XLOOKUP(C661,customers!$A660:$A1660,customers!$B660:$B1660,,0)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5">
        <f>INDEX(products!$A$1:$G$49,MATCH(orders!$D661,products!$A$1:$A$49,0),MATCH(orders!K$1,products!$A$1:$G$1,0))</f>
        <v>2.5</v>
      </c>
      <c r="L661" s="7">
        <f>INDEX(products!$A$1:$G$49,MATCH(orders!$D661,products!$A$1:$A$49,0),MATCH(orders!L$1,products!$A$1:$G$1,0))</f>
        <v>22.884999999999998</v>
      </c>
      <c r="M661" s="7">
        <f t="shared" si="30"/>
        <v>45.769999999999996</v>
      </c>
      <c r="N661" t="str">
        <f t="shared" si="31"/>
        <v>Arabica</v>
      </c>
      <c r="O661" t="str">
        <f t="shared" si="32"/>
        <v>Dark</v>
      </c>
      <c r="P661" t="str">
        <f>_xlfn.XLOOKUP(Table1[[#This Row],[Customer ID]],customers!$A$1:$A$1001,customers!$I$1:$I$1001,,0)</f>
        <v>Yes</v>
      </c>
    </row>
    <row r="662" spans="1:16" x14ac:dyDescent="0.2">
      <c r="A662" s="2" t="s">
        <v>4217</v>
      </c>
      <c r="B662" s="3">
        <v>44084</v>
      </c>
      <c r="C662" s="2" t="s">
        <v>4218</v>
      </c>
      <c r="D662" t="s">
        <v>6176</v>
      </c>
      <c r="E662" s="2">
        <v>6</v>
      </c>
      <c r="F662" s="2" t="str">
        <f>_xlfn.XLOOKUP(C662,customers!$A661:$A1661,customers!$B661:$B1661,,0)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5">
        <f>INDEX(products!$A$1:$G$49,MATCH(orders!$D662,products!$A$1:$A$49,0),MATCH(orders!K$1,products!$A$1:$G$1,0))</f>
        <v>0.5</v>
      </c>
      <c r="L662" s="7">
        <f>INDEX(products!$A$1:$G$49,MATCH(orders!$D662,products!$A$1:$A$49,0),MATCH(orders!L$1,products!$A$1:$G$1,0))</f>
        <v>8.91</v>
      </c>
      <c r="M662" s="7">
        <f t="shared" si="30"/>
        <v>53.46</v>
      </c>
      <c r="N662" t="str">
        <f t="shared" si="31"/>
        <v>Excelsa</v>
      </c>
      <c r="O662" t="str">
        <f t="shared" si="32"/>
        <v>Light</v>
      </c>
      <c r="P662" t="str">
        <f>_xlfn.XLOOKUP(Table1[[#This Row],[Customer ID]],customers!$A$1:$A$1001,customers!$I$1:$I$1001,,0)</f>
        <v>No</v>
      </c>
    </row>
    <row r="663" spans="1:16" x14ac:dyDescent="0.2">
      <c r="A663" s="2" t="s">
        <v>4223</v>
      </c>
      <c r="B663" s="3">
        <v>44485</v>
      </c>
      <c r="C663" s="2" t="s">
        <v>4224</v>
      </c>
      <c r="D663" t="s">
        <v>6152</v>
      </c>
      <c r="E663" s="2">
        <v>6</v>
      </c>
      <c r="F663" s="2" t="str">
        <f>_xlfn.XLOOKUP(C663,customers!$A662:$A1662,customers!$B662:$B1662,,0)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5">
        <f>INDEX(products!$A$1:$G$49,MATCH(orders!$D663,products!$A$1:$A$49,0),MATCH(orders!K$1,products!$A$1:$G$1,0))</f>
        <v>0.2</v>
      </c>
      <c r="L663" s="7">
        <f>INDEX(products!$A$1:$G$49,MATCH(orders!$D663,products!$A$1:$A$49,0),MATCH(orders!L$1,products!$A$1:$G$1,0))</f>
        <v>3.375</v>
      </c>
      <c r="M663" s="7">
        <f t="shared" si="30"/>
        <v>20.25</v>
      </c>
      <c r="N663" t="str">
        <f t="shared" si="31"/>
        <v>Arabica</v>
      </c>
      <c r="O663" t="str">
        <f t="shared" si="32"/>
        <v>Medium</v>
      </c>
      <c r="P663" t="str">
        <f>_xlfn.XLOOKUP(Table1[[#This Row],[Customer ID]],customers!$A$1:$A$1001,customers!$I$1:$I$1001,,0)</f>
        <v>Yes</v>
      </c>
    </row>
    <row r="664" spans="1:16" x14ac:dyDescent="0.2">
      <c r="A664" s="2" t="s">
        <v>4229</v>
      </c>
      <c r="B664" s="3">
        <v>44364</v>
      </c>
      <c r="C664" s="2" t="s">
        <v>4230</v>
      </c>
      <c r="D664" t="s">
        <v>6165</v>
      </c>
      <c r="E664" s="2">
        <v>5</v>
      </c>
      <c r="F664" s="2" t="str">
        <f>_xlfn.XLOOKUP(C664,customers!$A663:$A1663,customers!$B663:$B1663,,0)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5">
        <f>INDEX(products!$A$1:$G$49,MATCH(orders!$D664,products!$A$1:$A$49,0),MATCH(orders!K$1,products!$A$1:$G$1,0))</f>
        <v>2.5</v>
      </c>
      <c r="L664" s="7">
        <f>INDEX(products!$A$1:$G$49,MATCH(orders!$D664,products!$A$1:$A$49,0),MATCH(orders!L$1,products!$A$1:$G$1,0))</f>
        <v>29.784999999999997</v>
      </c>
      <c r="M664" s="7">
        <f t="shared" si="30"/>
        <v>148.92499999999998</v>
      </c>
      <c r="N664" t="str">
        <f t="shared" si="31"/>
        <v>Liberica</v>
      </c>
      <c r="O664" t="str">
        <f t="shared" si="32"/>
        <v>Dark</v>
      </c>
      <c r="P664" t="str">
        <f>_xlfn.XLOOKUP(Table1[[#This Row],[Customer ID]],customers!$A$1:$A$1001,customers!$I$1:$I$1001,,0)</f>
        <v>No</v>
      </c>
    </row>
    <row r="665" spans="1:16" x14ac:dyDescent="0.2">
      <c r="A665" s="2" t="s">
        <v>4234</v>
      </c>
      <c r="B665" s="3">
        <v>43554</v>
      </c>
      <c r="C665" s="2" t="s">
        <v>4235</v>
      </c>
      <c r="D665" t="s">
        <v>6155</v>
      </c>
      <c r="E665" s="2">
        <v>6</v>
      </c>
      <c r="F665" s="2" t="str">
        <f>_xlfn.XLOOKUP(C665,customers!$A664:$A1664,customers!$B664:$B1664,,0)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5">
        <f>INDEX(products!$A$1:$G$49,MATCH(orders!$D665,products!$A$1:$A$49,0),MATCH(orders!K$1,products!$A$1:$G$1,0))</f>
        <v>1</v>
      </c>
      <c r="L665" s="7">
        <f>INDEX(products!$A$1:$G$49,MATCH(orders!$D665,products!$A$1:$A$49,0),MATCH(orders!L$1,products!$A$1:$G$1,0))</f>
        <v>11.25</v>
      </c>
      <c r="M665" s="7">
        <f t="shared" si="30"/>
        <v>67.5</v>
      </c>
      <c r="N665" t="str">
        <f t="shared" si="31"/>
        <v>Arabica</v>
      </c>
      <c r="O665" t="str">
        <f t="shared" si="32"/>
        <v>Medium</v>
      </c>
      <c r="P665" t="str">
        <f>_xlfn.XLOOKUP(Table1[[#This Row],[Customer ID]],customers!$A$1:$A$1001,customers!$I$1:$I$1001,,0)</f>
        <v>No</v>
      </c>
    </row>
    <row r="666" spans="1:16" x14ac:dyDescent="0.2">
      <c r="A666" s="2" t="s">
        <v>4239</v>
      </c>
      <c r="B666" s="3">
        <v>44549</v>
      </c>
      <c r="C666" s="2" t="s">
        <v>4240</v>
      </c>
      <c r="D666" t="s">
        <v>6183</v>
      </c>
      <c r="E666" s="2">
        <v>6</v>
      </c>
      <c r="F666" s="2" t="str">
        <f>_xlfn.XLOOKUP(C666,customers!$A665:$A1665,customers!$B665:$B1665,,0)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5">
        <f>INDEX(products!$A$1:$G$49,MATCH(orders!$D666,products!$A$1:$A$49,0),MATCH(orders!K$1,products!$A$1:$G$1,0))</f>
        <v>1</v>
      </c>
      <c r="L666" s="7">
        <f>INDEX(products!$A$1:$G$49,MATCH(orders!$D666,products!$A$1:$A$49,0),MATCH(orders!L$1,products!$A$1:$G$1,0))</f>
        <v>12.15</v>
      </c>
      <c r="M666" s="7">
        <f t="shared" si="30"/>
        <v>72.900000000000006</v>
      </c>
      <c r="N666" t="str">
        <f t="shared" si="31"/>
        <v>Excelsa</v>
      </c>
      <c r="O666" t="str">
        <f t="shared" si="32"/>
        <v>Dark</v>
      </c>
      <c r="P666" t="str">
        <f>_xlfn.XLOOKUP(Table1[[#This Row],[Customer ID]],customers!$A$1:$A$1001,customers!$I$1:$I$1001,,0)</f>
        <v>No</v>
      </c>
    </row>
    <row r="667" spans="1:16" x14ac:dyDescent="0.2">
      <c r="A667" s="2" t="s">
        <v>4239</v>
      </c>
      <c r="B667" s="3">
        <v>44549</v>
      </c>
      <c r="C667" s="2" t="s">
        <v>4240</v>
      </c>
      <c r="D667" t="s">
        <v>6150</v>
      </c>
      <c r="E667" s="2">
        <v>2</v>
      </c>
      <c r="F667" s="2" t="str">
        <f>_xlfn.XLOOKUP(C667,customers!$A666:$A1666,customers!$B666:$B1666,,0)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5">
        <f>INDEX(products!$A$1:$G$49,MATCH(orders!$D667,products!$A$1:$A$49,0),MATCH(orders!K$1,products!$A$1:$G$1,0))</f>
        <v>0.2</v>
      </c>
      <c r="L667" s="7">
        <f>INDEX(products!$A$1:$G$49,MATCH(orders!$D667,products!$A$1:$A$49,0),MATCH(orders!L$1,products!$A$1:$G$1,0))</f>
        <v>3.8849999999999998</v>
      </c>
      <c r="M667" s="7">
        <f t="shared" si="30"/>
        <v>7.77</v>
      </c>
      <c r="N667" t="str">
        <f t="shared" si="31"/>
        <v>Liberica</v>
      </c>
      <c r="O667" t="str">
        <f t="shared" si="32"/>
        <v>Dark</v>
      </c>
      <c r="P667" t="str">
        <f>_xlfn.XLOOKUP(Table1[[#This Row],[Customer ID]],customers!$A$1:$A$1001,customers!$I$1:$I$1001,,0)</f>
        <v>No</v>
      </c>
    </row>
    <row r="668" spans="1:16" x14ac:dyDescent="0.2">
      <c r="A668" s="2" t="s">
        <v>4250</v>
      </c>
      <c r="B668" s="3">
        <v>43987</v>
      </c>
      <c r="C668" s="2" t="s">
        <v>4251</v>
      </c>
      <c r="D668" t="s">
        <v>6168</v>
      </c>
      <c r="E668" s="2">
        <v>4</v>
      </c>
      <c r="F668" s="2" t="str">
        <f>_xlfn.XLOOKUP(C668,customers!$A667:$A1667,customers!$B667:$B1667,,0)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5">
        <f>INDEX(products!$A$1:$G$49,MATCH(orders!$D668,products!$A$1:$A$49,0),MATCH(orders!K$1,products!$A$1:$G$1,0))</f>
        <v>2.5</v>
      </c>
      <c r="L668" s="7">
        <f>INDEX(products!$A$1:$G$49,MATCH(orders!$D668,products!$A$1:$A$49,0),MATCH(orders!L$1,products!$A$1:$G$1,0))</f>
        <v>22.884999999999998</v>
      </c>
      <c r="M668" s="7">
        <f t="shared" si="30"/>
        <v>91.539999999999992</v>
      </c>
      <c r="N668" t="str">
        <f t="shared" si="31"/>
        <v>Arabica</v>
      </c>
      <c r="O668" t="str">
        <f t="shared" si="32"/>
        <v>Dark</v>
      </c>
      <c r="P668" t="str">
        <f>_xlfn.XLOOKUP(Table1[[#This Row],[Customer ID]],customers!$A$1:$A$1001,customers!$I$1:$I$1001,,0)</f>
        <v>No</v>
      </c>
    </row>
    <row r="669" spans="1:16" x14ac:dyDescent="0.2">
      <c r="A669" s="2" t="s">
        <v>4256</v>
      </c>
      <c r="B669" s="3">
        <v>44451</v>
      </c>
      <c r="C669" s="2" t="s">
        <v>4257</v>
      </c>
      <c r="D669" t="s">
        <v>6147</v>
      </c>
      <c r="E669" s="2">
        <v>6</v>
      </c>
      <c r="F669" s="2" t="str">
        <f>_xlfn.XLOOKUP(C669,customers!$A668:$A1668,customers!$B668:$B1668,,0)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5">
        <f>INDEX(products!$A$1:$G$49,MATCH(orders!$D669,products!$A$1:$A$49,0),MATCH(orders!K$1,products!$A$1:$G$1,0))</f>
        <v>1</v>
      </c>
      <c r="L669" s="7">
        <f>INDEX(products!$A$1:$G$49,MATCH(orders!$D669,products!$A$1:$A$49,0),MATCH(orders!L$1,products!$A$1:$G$1,0))</f>
        <v>9.9499999999999993</v>
      </c>
      <c r="M669" s="7">
        <f t="shared" si="30"/>
        <v>59.699999999999996</v>
      </c>
      <c r="N669" t="str">
        <f t="shared" si="31"/>
        <v>Arabica</v>
      </c>
      <c r="O669" t="str">
        <f t="shared" si="32"/>
        <v>Dark</v>
      </c>
      <c r="P669" t="str">
        <f>_xlfn.XLOOKUP(Table1[[#This Row],[Customer ID]],customers!$A$1:$A$1001,customers!$I$1:$I$1001,,0)</f>
        <v>No</v>
      </c>
    </row>
    <row r="670" spans="1:16" x14ac:dyDescent="0.2">
      <c r="A670" s="2" t="s">
        <v>4262</v>
      </c>
      <c r="B670" s="3">
        <v>44636</v>
      </c>
      <c r="C670" s="2" t="s">
        <v>4263</v>
      </c>
      <c r="D670" t="s">
        <v>6142</v>
      </c>
      <c r="E670" s="2">
        <v>5</v>
      </c>
      <c r="F670" s="2" t="str">
        <f>_xlfn.XLOOKUP(C670,customers!$A669:$A1669,customers!$B669:$B1669,,0)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5">
        <f>INDEX(products!$A$1:$G$49,MATCH(orders!$D670,products!$A$1:$A$49,0),MATCH(orders!K$1,products!$A$1:$G$1,0))</f>
        <v>2.5</v>
      </c>
      <c r="L670" s="7">
        <f>INDEX(products!$A$1:$G$49,MATCH(orders!$D670,products!$A$1:$A$49,0),MATCH(orders!L$1,products!$A$1:$G$1,0))</f>
        <v>27.484999999999996</v>
      </c>
      <c r="M670" s="7">
        <f t="shared" si="30"/>
        <v>137.42499999999998</v>
      </c>
      <c r="N670" t="str">
        <f t="shared" si="31"/>
        <v>Robusta</v>
      </c>
      <c r="O670" t="str">
        <f t="shared" si="32"/>
        <v>Light</v>
      </c>
      <c r="P670" t="str">
        <f>_xlfn.XLOOKUP(Table1[[#This Row],[Customer ID]],customers!$A$1:$A$1001,customers!$I$1:$I$1001,,0)</f>
        <v>Yes</v>
      </c>
    </row>
    <row r="671" spans="1:16" x14ac:dyDescent="0.2">
      <c r="A671" s="2" t="s">
        <v>4268</v>
      </c>
      <c r="B671" s="3">
        <v>44551</v>
      </c>
      <c r="C671" s="2" t="s">
        <v>4269</v>
      </c>
      <c r="D671" t="s">
        <v>6181</v>
      </c>
      <c r="E671" s="2">
        <v>2</v>
      </c>
      <c r="F671" s="2" t="str">
        <f>_xlfn.XLOOKUP(C671,customers!$A670:$A1670,customers!$B670:$B1670,,0)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5">
        <f>INDEX(products!$A$1:$G$49,MATCH(orders!$D671,products!$A$1:$A$49,0),MATCH(orders!K$1,products!$A$1:$G$1,0))</f>
        <v>2.5</v>
      </c>
      <c r="L671" s="7">
        <f>INDEX(products!$A$1:$G$49,MATCH(orders!$D671,products!$A$1:$A$49,0),MATCH(orders!L$1,products!$A$1:$G$1,0))</f>
        <v>33.464999999999996</v>
      </c>
      <c r="M671" s="7">
        <f t="shared" si="30"/>
        <v>66.929999999999993</v>
      </c>
      <c r="N671" t="str">
        <f t="shared" si="31"/>
        <v>Liberica</v>
      </c>
      <c r="O671" t="str">
        <f t="shared" si="32"/>
        <v>Medium</v>
      </c>
      <c r="P671" t="str">
        <f>_xlfn.XLOOKUP(Table1[[#This Row],[Customer ID]],customers!$A$1:$A$1001,customers!$I$1:$I$1001,,0)</f>
        <v>No</v>
      </c>
    </row>
    <row r="672" spans="1:16" x14ac:dyDescent="0.2">
      <c r="A672" s="2" t="s">
        <v>4274</v>
      </c>
      <c r="B672" s="3">
        <v>43606</v>
      </c>
      <c r="C672" s="2" t="s">
        <v>4275</v>
      </c>
      <c r="D672" t="s">
        <v>6159</v>
      </c>
      <c r="E672" s="2">
        <v>3</v>
      </c>
      <c r="F672" s="2" t="str">
        <f>_xlfn.XLOOKUP(C672,customers!$A671:$A1671,customers!$B671:$B1671,,0)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5">
        <f>INDEX(products!$A$1:$G$49,MATCH(orders!$D672,products!$A$1:$A$49,0),MATCH(orders!K$1,products!$A$1:$G$1,0))</f>
        <v>0.2</v>
      </c>
      <c r="L672" s="7">
        <f>INDEX(products!$A$1:$G$49,MATCH(orders!$D672,products!$A$1:$A$49,0),MATCH(orders!L$1,products!$A$1:$G$1,0))</f>
        <v>4.3650000000000002</v>
      </c>
      <c r="M672" s="7">
        <f t="shared" si="30"/>
        <v>13.095000000000001</v>
      </c>
      <c r="N672" t="str">
        <f t="shared" si="31"/>
        <v>Liberica</v>
      </c>
      <c r="O672" t="str">
        <f t="shared" si="32"/>
        <v>Medium</v>
      </c>
      <c r="P672" t="str">
        <f>_xlfn.XLOOKUP(Table1[[#This Row],[Customer ID]],customers!$A$1:$A$1001,customers!$I$1:$I$1001,,0)</f>
        <v>Yes</v>
      </c>
    </row>
    <row r="673" spans="1:16" x14ac:dyDescent="0.2">
      <c r="A673" s="2" t="s">
        <v>4280</v>
      </c>
      <c r="B673" s="3">
        <v>44495</v>
      </c>
      <c r="C673" s="2" t="s">
        <v>4281</v>
      </c>
      <c r="D673" t="s">
        <v>6179</v>
      </c>
      <c r="E673" s="2">
        <v>5</v>
      </c>
      <c r="F673" s="2" t="str">
        <f>_xlfn.XLOOKUP(C673,customers!$A672:$A1672,customers!$B672:$B1672,,0)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5">
        <f>INDEX(products!$A$1:$G$49,MATCH(orders!$D673,products!$A$1:$A$49,0),MATCH(orders!K$1,products!$A$1:$G$1,0))</f>
        <v>1</v>
      </c>
      <c r="L673" s="7">
        <f>INDEX(products!$A$1:$G$49,MATCH(orders!$D673,products!$A$1:$A$49,0),MATCH(orders!L$1,products!$A$1:$G$1,0))</f>
        <v>11.95</v>
      </c>
      <c r="M673" s="7">
        <f t="shared" si="30"/>
        <v>59.75</v>
      </c>
      <c r="N673" t="str">
        <f t="shared" si="31"/>
        <v>Robusta</v>
      </c>
      <c r="O673" t="str">
        <f t="shared" si="32"/>
        <v>Light</v>
      </c>
      <c r="P673" t="str">
        <f>_xlfn.XLOOKUP(Table1[[#This Row],[Customer ID]],customers!$A$1:$A$1001,customers!$I$1:$I$1001,,0)</f>
        <v>No</v>
      </c>
    </row>
    <row r="674" spans="1:16" x14ac:dyDescent="0.2">
      <c r="A674" s="2" t="s">
        <v>4286</v>
      </c>
      <c r="B674" s="3">
        <v>43916</v>
      </c>
      <c r="C674" s="2" t="s">
        <v>4287</v>
      </c>
      <c r="D674" t="s">
        <v>6160</v>
      </c>
      <c r="E674" s="2">
        <v>5</v>
      </c>
      <c r="F674" s="2" t="str">
        <f>_xlfn.XLOOKUP(C674,customers!$A673:$A1673,customers!$B673:$B1673,,0)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5">
        <f>INDEX(products!$A$1:$G$49,MATCH(orders!$D674,products!$A$1:$A$49,0),MATCH(orders!K$1,products!$A$1:$G$1,0))</f>
        <v>0.5</v>
      </c>
      <c r="L674" s="7">
        <f>INDEX(products!$A$1:$G$49,MATCH(orders!$D674,products!$A$1:$A$49,0),MATCH(orders!L$1,products!$A$1:$G$1,0))</f>
        <v>8.73</v>
      </c>
      <c r="M674" s="7">
        <f t="shared" si="30"/>
        <v>43.650000000000006</v>
      </c>
      <c r="N674" t="str">
        <f t="shared" si="31"/>
        <v>Liberica</v>
      </c>
      <c r="O674" t="str">
        <f t="shared" si="32"/>
        <v>Medium</v>
      </c>
      <c r="P674" t="str">
        <f>_xlfn.XLOOKUP(Table1[[#This Row],[Customer ID]],customers!$A$1:$A$1001,customers!$I$1:$I$1001,,0)</f>
        <v>Yes</v>
      </c>
    </row>
    <row r="675" spans="1:16" x14ac:dyDescent="0.2">
      <c r="A675" s="2" t="s">
        <v>4291</v>
      </c>
      <c r="B675" s="3">
        <v>44118</v>
      </c>
      <c r="C675" s="2" t="s">
        <v>4292</v>
      </c>
      <c r="D675" t="s">
        <v>6141</v>
      </c>
      <c r="E675" s="2">
        <v>6</v>
      </c>
      <c r="F675" s="2" t="str">
        <f>_xlfn.XLOOKUP(C675,customers!$A674:$A1674,customers!$B674:$B1674,,0)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5">
        <f>INDEX(products!$A$1:$G$49,MATCH(orders!$D675,products!$A$1:$A$49,0),MATCH(orders!K$1,products!$A$1:$G$1,0))</f>
        <v>1</v>
      </c>
      <c r="L675" s="7">
        <f>INDEX(products!$A$1:$G$49,MATCH(orders!$D675,products!$A$1:$A$49,0),MATCH(orders!L$1,products!$A$1:$G$1,0))</f>
        <v>13.75</v>
      </c>
      <c r="M675" s="7">
        <f t="shared" si="30"/>
        <v>82.5</v>
      </c>
      <c r="N675" t="str">
        <f t="shared" si="31"/>
        <v>Excelsa</v>
      </c>
      <c r="O675" t="str">
        <f t="shared" si="32"/>
        <v>Medium</v>
      </c>
      <c r="P675" t="str">
        <f>_xlfn.XLOOKUP(Table1[[#This Row],[Customer ID]],customers!$A$1:$A$1001,customers!$I$1:$I$1001,,0)</f>
        <v>Yes</v>
      </c>
    </row>
    <row r="676" spans="1:16" x14ac:dyDescent="0.2">
      <c r="A676" s="2" t="s">
        <v>4297</v>
      </c>
      <c r="B676" s="3">
        <v>44543</v>
      </c>
      <c r="C676" s="2" t="s">
        <v>4298</v>
      </c>
      <c r="D676" t="s">
        <v>6182</v>
      </c>
      <c r="E676" s="2">
        <v>6</v>
      </c>
      <c r="F676" s="2" t="str">
        <f>_xlfn.XLOOKUP(C676,customers!$A675:$A1675,customers!$B675:$B1675,,0)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5">
        <f>INDEX(products!$A$1:$G$49,MATCH(orders!$D676,products!$A$1:$A$49,0),MATCH(orders!K$1,products!$A$1:$G$1,0))</f>
        <v>2.5</v>
      </c>
      <c r="L676" s="7">
        <f>INDEX(products!$A$1:$G$49,MATCH(orders!$D676,products!$A$1:$A$49,0),MATCH(orders!L$1,products!$A$1:$G$1,0))</f>
        <v>29.784999999999997</v>
      </c>
      <c r="M676" s="7">
        <f t="shared" si="30"/>
        <v>178.70999999999998</v>
      </c>
      <c r="N676" t="str">
        <f t="shared" si="31"/>
        <v>Arabica</v>
      </c>
      <c r="O676" t="str">
        <f t="shared" si="32"/>
        <v>Light</v>
      </c>
      <c r="P676" t="str">
        <f>_xlfn.XLOOKUP(Table1[[#This Row],[Customer ID]],customers!$A$1:$A$1001,customers!$I$1:$I$1001,,0)</f>
        <v>Yes</v>
      </c>
    </row>
    <row r="677" spans="1:16" x14ac:dyDescent="0.2">
      <c r="A677" s="2" t="s">
        <v>4303</v>
      </c>
      <c r="B677" s="3">
        <v>44263</v>
      </c>
      <c r="C677" s="2" t="s">
        <v>4304</v>
      </c>
      <c r="D677" t="s">
        <v>6165</v>
      </c>
      <c r="E677" s="2">
        <v>4</v>
      </c>
      <c r="F677" s="2" t="str">
        <f>_xlfn.XLOOKUP(C677,customers!$A676:$A1676,customers!$B676:$B1676,,0)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5">
        <f>INDEX(products!$A$1:$G$49,MATCH(orders!$D677,products!$A$1:$A$49,0),MATCH(orders!K$1,products!$A$1:$G$1,0))</f>
        <v>2.5</v>
      </c>
      <c r="L677" s="7">
        <f>INDEX(products!$A$1:$G$49,MATCH(orders!$D677,products!$A$1:$A$49,0),MATCH(orders!L$1,products!$A$1:$G$1,0))</f>
        <v>29.784999999999997</v>
      </c>
      <c r="M677" s="7">
        <f t="shared" si="30"/>
        <v>119.13999999999999</v>
      </c>
      <c r="N677" t="str">
        <f t="shared" si="31"/>
        <v>Liberica</v>
      </c>
      <c r="O677" t="str">
        <f t="shared" si="32"/>
        <v>Dark</v>
      </c>
      <c r="P677" t="str">
        <f>_xlfn.XLOOKUP(Table1[[#This Row],[Customer ID]],customers!$A$1:$A$1001,customers!$I$1:$I$1001,,0)</f>
        <v>Yes</v>
      </c>
    </row>
    <row r="678" spans="1:16" x14ac:dyDescent="0.2">
      <c r="A678" s="2" t="s">
        <v>4308</v>
      </c>
      <c r="B678" s="3">
        <v>44217</v>
      </c>
      <c r="C678" s="2" t="s">
        <v>4309</v>
      </c>
      <c r="D678" t="s">
        <v>6161</v>
      </c>
      <c r="E678" s="2">
        <v>5</v>
      </c>
      <c r="F678" s="2" t="str">
        <f>_xlfn.XLOOKUP(C678,customers!$A677:$A1677,customers!$B677:$B1677,,0)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5">
        <f>INDEX(products!$A$1:$G$49,MATCH(orders!$D678,products!$A$1:$A$49,0),MATCH(orders!K$1,products!$A$1:$G$1,0))</f>
        <v>0.5</v>
      </c>
      <c r="L678" s="7">
        <f>INDEX(products!$A$1:$G$49,MATCH(orders!$D678,products!$A$1:$A$49,0),MATCH(orders!L$1,products!$A$1:$G$1,0))</f>
        <v>9.51</v>
      </c>
      <c r="M678" s="7">
        <f t="shared" si="30"/>
        <v>47.55</v>
      </c>
      <c r="N678" t="str">
        <f t="shared" si="31"/>
        <v>Liberica</v>
      </c>
      <c r="O678" t="str">
        <f t="shared" si="32"/>
        <v>Light</v>
      </c>
      <c r="P678" t="str">
        <f>_xlfn.XLOOKUP(Table1[[#This Row],[Customer ID]],customers!$A$1:$A$1001,customers!$I$1:$I$1001,,0)</f>
        <v>No</v>
      </c>
    </row>
    <row r="679" spans="1:16" x14ac:dyDescent="0.2">
      <c r="A679" s="2" t="s">
        <v>4313</v>
      </c>
      <c r="B679" s="3">
        <v>44206</v>
      </c>
      <c r="C679" s="2" t="s">
        <v>4314</v>
      </c>
      <c r="D679" t="s">
        <v>6160</v>
      </c>
      <c r="E679" s="2">
        <v>5</v>
      </c>
      <c r="F679" s="2" t="str">
        <f>_xlfn.XLOOKUP(C679,customers!$A678:$A1678,customers!$B678:$B1678,,0)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5">
        <f>INDEX(products!$A$1:$G$49,MATCH(orders!$D679,products!$A$1:$A$49,0),MATCH(orders!K$1,products!$A$1:$G$1,0))</f>
        <v>0.5</v>
      </c>
      <c r="L679" s="7">
        <f>INDEX(products!$A$1:$G$49,MATCH(orders!$D679,products!$A$1:$A$49,0),MATCH(orders!L$1,products!$A$1:$G$1,0))</f>
        <v>8.73</v>
      </c>
      <c r="M679" s="7">
        <f t="shared" si="30"/>
        <v>43.650000000000006</v>
      </c>
      <c r="N679" t="str">
        <f t="shared" si="31"/>
        <v>Liberica</v>
      </c>
      <c r="O679" t="str">
        <f t="shared" si="32"/>
        <v>Medium</v>
      </c>
      <c r="P679" t="str">
        <f>_xlfn.XLOOKUP(Table1[[#This Row],[Customer ID]],customers!$A$1:$A$1001,customers!$I$1:$I$1001,,0)</f>
        <v>No</v>
      </c>
    </row>
    <row r="680" spans="1:16" x14ac:dyDescent="0.2">
      <c r="A680" s="2" t="s">
        <v>4319</v>
      </c>
      <c r="B680" s="3">
        <v>44281</v>
      </c>
      <c r="C680" s="2" t="s">
        <v>4320</v>
      </c>
      <c r="D680" t="s">
        <v>6182</v>
      </c>
      <c r="E680" s="2">
        <v>6</v>
      </c>
      <c r="F680" s="2" t="str">
        <f>_xlfn.XLOOKUP(C680,customers!$A679:$A1679,customers!$B679:$B1679,,0)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5">
        <f>INDEX(products!$A$1:$G$49,MATCH(orders!$D680,products!$A$1:$A$49,0),MATCH(orders!K$1,products!$A$1:$G$1,0))</f>
        <v>2.5</v>
      </c>
      <c r="L680" s="7">
        <f>INDEX(products!$A$1:$G$49,MATCH(orders!$D680,products!$A$1:$A$49,0),MATCH(orders!L$1,products!$A$1:$G$1,0))</f>
        <v>29.784999999999997</v>
      </c>
      <c r="M680" s="7">
        <f t="shared" si="30"/>
        <v>178.70999999999998</v>
      </c>
      <c r="N680" t="str">
        <f t="shared" si="31"/>
        <v>Arabica</v>
      </c>
      <c r="O680" t="str">
        <f t="shared" si="32"/>
        <v>Light</v>
      </c>
      <c r="P680" t="str">
        <f>_xlfn.XLOOKUP(Table1[[#This Row],[Customer ID]],customers!$A$1:$A$1001,customers!$I$1:$I$1001,,0)</f>
        <v>Yes</v>
      </c>
    </row>
    <row r="681" spans="1:16" x14ac:dyDescent="0.2">
      <c r="A681" s="2" t="s">
        <v>4325</v>
      </c>
      <c r="B681" s="3">
        <v>44645</v>
      </c>
      <c r="C681" s="2" t="s">
        <v>4326</v>
      </c>
      <c r="D681" t="s">
        <v>6142</v>
      </c>
      <c r="E681" s="2">
        <v>1</v>
      </c>
      <c r="F681" s="2" t="str">
        <f>_xlfn.XLOOKUP(C681,customers!$A680:$A1680,customers!$B680:$B1680,,0)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5">
        <f>INDEX(products!$A$1:$G$49,MATCH(orders!$D681,products!$A$1:$A$49,0),MATCH(orders!K$1,products!$A$1:$G$1,0))</f>
        <v>2.5</v>
      </c>
      <c r="L681" s="7">
        <f>INDEX(products!$A$1:$G$49,MATCH(orders!$D681,products!$A$1:$A$49,0),MATCH(orders!L$1,products!$A$1:$G$1,0))</f>
        <v>27.484999999999996</v>
      </c>
      <c r="M681" s="7">
        <f t="shared" si="30"/>
        <v>27.484999999999996</v>
      </c>
      <c r="N681" t="str">
        <f t="shared" si="31"/>
        <v>Robusta</v>
      </c>
      <c r="O681" t="str">
        <f t="shared" si="32"/>
        <v>Light</v>
      </c>
      <c r="P681" t="str">
        <f>_xlfn.XLOOKUP(Table1[[#This Row],[Customer ID]],customers!$A$1:$A$1001,customers!$I$1:$I$1001,,0)</f>
        <v>No</v>
      </c>
    </row>
    <row r="682" spans="1:16" x14ac:dyDescent="0.2">
      <c r="A682" s="2" t="s">
        <v>4331</v>
      </c>
      <c r="B682" s="3">
        <v>44399</v>
      </c>
      <c r="C682" s="2" t="s">
        <v>4332</v>
      </c>
      <c r="D682" t="s">
        <v>6155</v>
      </c>
      <c r="E682" s="2">
        <v>5</v>
      </c>
      <c r="F682" s="2" t="str">
        <f>_xlfn.XLOOKUP(C682,customers!$A681:$A1681,customers!$B681:$B1681,,0)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5">
        <f>INDEX(products!$A$1:$G$49,MATCH(orders!$D682,products!$A$1:$A$49,0),MATCH(orders!K$1,products!$A$1:$G$1,0))</f>
        <v>1</v>
      </c>
      <c r="L682" s="7">
        <f>INDEX(products!$A$1:$G$49,MATCH(orders!$D682,products!$A$1:$A$49,0),MATCH(orders!L$1,products!$A$1:$G$1,0))</f>
        <v>11.25</v>
      </c>
      <c r="M682" s="7">
        <f t="shared" si="30"/>
        <v>56.25</v>
      </c>
      <c r="N682" t="str">
        <f t="shared" si="31"/>
        <v>Arabica</v>
      </c>
      <c r="O682" t="str">
        <f t="shared" si="32"/>
        <v>Medium</v>
      </c>
      <c r="P682" t="str">
        <f>_xlfn.XLOOKUP(Table1[[#This Row],[Customer ID]],customers!$A$1:$A$1001,customers!$I$1:$I$1001,,0)</f>
        <v>No</v>
      </c>
    </row>
    <row r="683" spans="1:16" x14ac:dyDescent="0.2">
      <c r="A683" s="2" t="s">
        <v>4336</v>
      </c>
      <c r="B683" s="3">
        <v>44080</v>
      </c>
      <c r="C683" s="2" t="s">
        <v>4337</v>
      </c>
      <c r="D683" t="s">
        <v>6145</v>
      </c>
      <c r="E683" s="2">
        <v>2</v>
      </c>
      <c r="F683" s="2" t="str">
        <f>_xlfn.XLOOKUP(C683,customers!$A682:$A1682,customers!$B682:$B1682,,0)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5">
        <f>INDEX(products!$A$1:$G$49,MATCH(orders!$D683,products!$A$1:$A$49,0),MATCH(orders!K$1,products!$A$1:$G$1,0))</f>
        <v>0.2</v>
      </c>
      <c r="L683" s="7">
        <f>INDEX(products!$A$1:$G$49,MATCH(orders!$D683,products!$A$1:$A$49,0),MATCH(orders!L$1,products!$A$1:$G$1,0))</f>
        <v>4.7549999999999999</v>
      </c>
      <c r="M683" s="7">
        <f t="shared" si="30"/>
        <v>9.51</v>
      </c>
      <c r="N683" t="str">
        <f t="shared" si="31"/>
        <v>Liberica</v>
      </c>
      <c r="O683" t="str">
        <f t="shared" si="32"/>
        <v>Light</v>
      </c>
      <c r="P683" t="str">
        <f>_xlfn.XLOOKUP(Table1[[#This Row],[Customer ID]],customers!$A$1:$A$1001,customers!$I$1:$I$1001,,0)</f>
        <v>Yes</v>
      </c>
    </row>
    <row r="684" spans="1:16" x14ac:dyDescent="0.2">
      <c r="A684" s="2" t="s">
        <v>4342</v>
      </c>
      <c r="B684" s="3">
        <v>43827</v>
      </c>
      <c r="C684" s="2" t="s">
        <v>4343</v>
      </c>
      <c r="D684" t="s">
        <v>6156</v>
      </c>
      <c r="E684" s="2">
        <v>2</v>
      </c>
      <c r="F684" s="2" t="str">
        <f>_xlfn.XLOOKUP(C684,customers!$A683:$A1683,customers!$B683:$B1683,,0)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5">
        <f>INDEX(products!$A$1:$G$49,MATCH(orders!$D684,products!$A$1:$A$49,0),MATCH(orders!K$1,products!$A$1:$G$1,0))</f>
        <v>0.2</v>
      </c>
      <c r="L684" s="7">
        <f>INDEX(products!$A$1:$G$49,MATCH(orders!$D684,products!$A$1:$A$49,0),MATCH(orders!L$1,products!$A$1:$G$1,0))</f>
        <v>4.125</v>
      </c>
      <c r="M684" s="7">
        <f t="shared" si="30"/>
        <v>8.25</v>
      </c>
      <c r="N684" t="str">
        <f t="shared" si="31"/>
        <v>Excelsa</v>
      </c>
      <c r="O684" t="str">
        <f t="shared" si="32"/>
        <v>Medium</v>
      </c>
      <c r="P684" t="str">
        <f>_xlfn.XLOOKUP(Table1[[#This Row],[Customer ID]],customers!$A$1:$A$1001,customers!$I$1:$I$1001,,0)</f>
        <v>Yes</v>
      </c>
    </row>
    <row r="685" spans="1:16" x14ac:dyDescent="0.2">
      <c r="A685" s="2" t="s">
        <v>4348</v>
      </c>
      <c r="B685" s="3">
        <v>43941</v>
      </c>
      <c r="C685" s="2" t="s">
        <v>4349</v>
      </c>
      <c r="D685" t="s">
        <v>6169</v>
      </c>
      <c r="E685" s="2">
        <v>6</v>
      </c>
      <c r="F685" s="2" t="str">
        <f>_xlfn.XLOOKUP(C685,customers!$A684:$A1684,customers!$B684:$B1684,,0)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5">
        <f>INDEX(products!$A$1:$G$49,MATCH(orders!$D685,products!$A$1:$A$49,0),MATCH(orders!K$1,products!$A$1:$G$1,0))</f>
        <v>0.5</v>
      </c>
      <c r="L685" s="7">
        <f>INDEX(products!$A$1:$G$49,MATCH(orders!$D685,products!$A$1:$A$49,0),MATCH(orders!L$1,products!$A$1:$G$1,0))</f>
        <v>7.77</v>
      </c>
      <c r="M685" s="7">
        <f t="shared" si="30"/>
        <v>46.62</v>
      </c>
      <c r="N685" t="str">
        <f t="shared" si="31"/>
        <v>Liberica</v>
      </c>
      <c r="O685" t="str">
        <f t="shared" si="32"/>
        <v>Dark</v>
      </c>
      <c r="P685" t="str">
        <f>_xlfn.XLOOKUP(Table1[[#This Row],[Customer ID]],customers!$A$1:$A$1001,customers!$I$1:$I$1001,,0)</f>
        <v>No</v>
      </c>
    </row>
    <row r="686" spans="1:16" x14ac:dyDescent="0.2">
      <c r="A686" s="2" t="s">
        <v>4354</v>
      </c>
      <c r="B686" s="3">
        <v>43517</v>
      </c>
      <c r="C686" s="2" t="s">
        <v>4355</v>
      </c>
      <c r="D686" t="s">
        <v>6179</v>
      </c>
      <c r="E686" s="2">
        <v>6</v>
      </c>
      <c r="F686" s="2" t="str">
        <f>_xlfn.XLOOKUP(C686,customers!$A685:$A1685,customers!$B685:$B1685,,0)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5">
        <f>INDEX(products!$A$1:$G$49,MATCH(orders!$D686,products!$A$1:$A$49,0),MATCH(orders!K$1,products!$A$1:$G$1,0))</f>
        <v>1</v>
      </c>
      <c r="L686" s="7">
        <f>INDEX(products!$A$1:$G$49,MATCH(orders!$D686,products!$A$1:$A$49,0),MATCH(orders!L$1,products!$A$1:$G$1,0))</f>
        <v>11.95</v>
      </c>
      <c r="M686" s="7">
        <f t="shared" si="30"/>
        <v>71.699999999999989</v>
      </c>
      <c r="N686" t="str">
        <f t="shared" si="31"/>
        <v>Robusta</v>
      </c>
      <c r="O686" t="str">
        <f t="shared" si="32"/>
        <v>Light</v>
      </c>
      <c r="P686" t="str">
        <f>_xlfn.XLOOKUP(Table1[[#This Row],[Customer ID]],customers!$A$1:$A$1001,customers!$I$1:$I$1001,,0)</f>
        <v>No</v>
      </c>
    </row>
    <row r="687" spans="1:16" x14ac:dyDescent="0.2">
      <c r="A687" s="2" t="s">
        <v>4359</v>
      </c>
      <c r="B687" s="3">
        <v>44637</v>
      </c>
      <c r="C687" s="2" t="s">
        <v>4360</v>
      </c>
      <c r="D687" t="s">
        <v>6164</v>
      </c>
      <c r="E687" s="2">
        <v>2</v>
      </c>
      <c r="F687" s="2" t="str">
        <f>_xlfn.XLOOKUP(C687,customers!$A686:$A1686,customers!$B686:$B1686,,0)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5">
        <f>INDEX(products!$A$1:$G$49,MATCH(orders!$D687,products!$A$1:$A$49,0),MATCH(orders!K$1,products!$A$1:$G$1,0))</f>
        <v>2.5</v>
      </c>
      <c r="L687" s="7">
        <f>INDEX(products!$A$1:$G$49,MATCH(orders!$D687,products!$A$1:$A$49,0),MATCH(orders!L$1,products!$A$1:$G$1,0))</f>
        <v>36.454999999999998</v>
      </c>
      <c r="M687" s="7">
        <f t="shared" si="30"/>
        <v>72.91</v>
      </c>
      <c r="N687" t="str">
        <f t="shared" si="31"/>
        <v>Liberica</v>
      </c>
      <c r="O687" t="str">
        <f t="shared" si="32"/>
        <v>Light</v>
      </c>
      <c r="P687" t="str">
        <f>_xlfn.XLOOKUP(Table1[[#This Row],[Customer ID]],customers!$A$1:$A$1001,customers!$I$1:$I$1001,,0)</f>
        <v>Yes</v>
      </c>
    </row>
    <row r="688" spans="1:16" x14ac:dyDescent="0.2">
      <c r="A688" s="2" t="s">
        <v>4365</v>
      </c>
      <c r="B688" s="3">
        <v>44330</v>
      </c>
      <c r="C688" s="2" t="s">
        <v>4366</v>
      </c>
      <c r="D688" t="s">
        <v>6163</v>
      </c>
      <c r="E688" s="2">
        <v>3</v>
      </c>
      <c r="F688" s="2" t="str">
        <f>_xlfn.XLOOKUP(C688,customers!$A687:$A1687,customers!$B687:$B1687,,0)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5">
        <f>INDEX(products!$A$1:$G$49,MATCH(orders!$D688,products!$A$1:$A$49,0),MATCH(orders!K$1,products!$A$1:$G$1,0))</f>
        <v>0.2</v>
      </c>
      <c r="L688" s="7">
        <f>INDEX(products!$A$1:$G$49,MATCH(orders!$D688,products!$A$1:$A$49,0),MATCH(orders!L$1,products!$A$1:$G$1,0))</f>
        <v>2.6849999999999996</v>
      </c>
      <c r="M688" s="7">
        <f t="shared" si="30"/>
        <v>8.0549999999999997</v>
      </c>
      <c r="N688" t="str">
        <f t="shared" si="31"/>
        <v>Robusta</v>
      </c>
      <c r="O688" t="str">
        <f t="shared" si="32"/>
        <v>Dark</v>
      </c>
      <c r="P688" t="str">
        <f>_xlfn.XLOOKUP(Table1[[#This Row],[Customer ID]],customers!$A$1:$A$1001,customers!$I$1:$I$1001,,0)</f>
        <v>Yes</v>
      </c>
    </row>
    <row r="689" spans="1:16" x14ac:dyDescent="0.2">
      <c r="A689" s="2" t="s">
        <v>4371</v>
      </c>
      <c r="B689" s="3">
        <v>43471</v>
      </c>
      <c r="C689" s="2" t="s">
        <v>4372</v>
      </c>
      <c r="D689" t="s">
        <v>6139</v>
      </c>
      <c r="E689" s="2">
        <v>2</v>
      </c>
      <c r="F689" s="2" t="str">
        <f>_xlfn.XLOOKUP(C689,customers!$A688:$A1688,customers!$B688:$B1688,,0)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5">
        <f>INDEX(products!$A$1:$G$49,MATCH(orders!$D689,products!$A$1:$A$49,0),MATCH(orders!K$1,products!$A$1:$G$1,0))</f>
        <v>0.5</v>
      </c>
      <c r="L689" s="7">
        <f>INDEX(products!$A$1:$G$49,MATCH(orders!$D689,products!$A$1:$A$49,0),MATCH(orders!L$1,products!$A$1:$G$1,0))</f>
        <v>8.25</v>
      </c>
      <c r="M689" s="7">
        <f t="shared" si="30"/>
        <v>16.5</v>
      </c>
      <c r="N689" t="str">
        <f t="shared" si="31"/>
        <v>Excelsa</v>
      </c>
      <c r="O689" t="str">
        <f t="shared" si="32"/>
        <v>Medium</v>
      </c>
      <c r="P689" t="str">
        <f>_xlfn.XLOOKUP(Table1[[#This Row],[Customer ID]],customers!$A$1:$A$1001,customers!$I$1:$I$1001,,0)</f>
        <v>No</v>
      </c>
    </row>
    <row r="690" spans="1:16" x14ac:dyDescent="0.2">
      <c r="A690" s="2" t="s">
        <v>4377</v>
      </c>
      <c r="B690" s="3">
        <v>43579</v>
      </c>
      <c r="C690" s="2" t="s">
        <v>4378</v>
      </c>
      <c r="D690" t="s">
        <v>6140</v>
      </c>
      <c r="E690" s="2">
        <v>5</v>
      </c>
      <c r="F690" s="2" t="str">
        <f>_xlfn.XLOOKUP(C690,customers!$A689:$A1689,customers!$B689:$B1689,,0)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5">
        <f>INDEX(products!$A$1:$G$49,MATCH(orders!$D690,products!$A$1:$A$49,0),MATCH(orders!K$1,products!$A$1:$G$1,0))</f>
        <v>1</v>
      </c>
      <c r="L690" s="7">
        <f>INDEX(products!$A$1:$G$49,MATCH(orders!$D690,products!$A$1:$A$49,0),MATCH(orders!L$1,products!$A$1:$G$1,0))</f>
        <v>12.95</v>
      </c>
      <c r="M690" s="7">
        <f t="shared" si="30"/>
        <v>64.75</v>
      </c>
      <c r="N690" t="str">
        <f t="shared" si="31"/>
        <v>Arabica</v>
      </c>
      <c r="O690" t="str">
        <f t="shared" si="32"/>
        <v>Light</v>
      </c>
      <c r="P690" t="str">
        <f>_xlfn.XLOOKUP(Table1[[#This Row],[Customer ID]],customers!$A$1:$A$1001,customers!$I$1:$I$1001,,0)</f>
        <v>No</v>
      </c>
    </row>
    <row r="691" spans="1:16" x14ac:dyDescent="0.2">
      <c r="A691" s="2" t="s">
        <v>4383</v>
      </c>
      <c r="B691" s="3">
        <v>44346</v>
      </c>
      <c r="C691" s="2" t="s">
        <v>4384</v>
      </c>
      <c r="D691" t="s">
        <v>6157</v>
      </c>
      <c r="E691" s="2">
        <v>5</v>
      </c>
      <c r="F691" s="2" t="str">
        <f>_xlfn.XLOOKUP(C691,customers!$A690:$A1690,customers!$B690:$B1690,,0)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5">
        <f>INDEX(products!$A$1:$G$49,MATCH(orders!$D691,products!$A$1:$A$49,0),MATCH(orders!K$1,products!$A$1:$G$1,0))</f>
        <v>0.5</v>
      </c>
      <c r="L691" s="7">
        <f>INDEX(products!$A$1:$G$49,MATCH(orders!$D691,products!$A$1:$A$49,0),MATCH(orders!L$1,products!$A$1:$G$1,0))</f>
        <v>6.75</v>
      </c>
      <c r="M691" s="7">
        <f t="shared" si="30"/>
        <v>33.75</v>
      </c>
      <c r="N691" t="str">
        <f t="shared" si="31"/>
        <v>Arabica</v>
      </c>
      <c r="O691" t="str">
        <f t="shared" si="32"/>
        <v>Medium</v>
      </c>
      <c r="P691" t="str">
        <f>_xlfn.XLOOKUP(Table1[[#This Row],[Customer ID]],customers!$A$1:$A$1001,customers!$I$1:$I$1001,,0)</f>
        <v>No</v>
      </c>
    </row>
    <row r="692" spans="1:16" x14ac:dyDescent="0.2">
      <c r="A692" s="2" t="s">
        <v>4389</v>
      </c>
      <c r="B692" s="3">
        <v>44754</v>
      </c>
      <c r="C692" s="2" t="s">
        <v>4390</v>
      </c>
      <c r="D692" t="s">
        <v>6165</v>
      </c>
      <c r="E692" s="2">
        <v>6</v>
      </c>
      <c r="F692" s="2" t="str">
        <f>_xlfn.XLOOKUP(C692,customers!$A691:$A1691,customers!$B691:$B1691,,0)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5">
        <f>INDEX(products!$A$1:$G$49,MATCH(orders!$D692,products!$A$1:$A$49,0),MATCH(orders!K$1,products!$A$1:$G$1,0))</f>
        <v>2.5</v>
      </c>
      <c r="L692" s="7">
        <f>INDEX(products!$A$1:$G$49,MATCH(orders!$D692,products!$A$1:$A$49,0),MATCH(orders!L$1,products!$A$1:$G$1,0))</f>
        <v>29.784999999999997</v>
      </c>
      <c r="M692" s="7">
        <f t="shared" si="30"/>
        <v>178.70999999999998</v>
      </c>
      <c r="N692" t="str">
        <f t="shared" si="31"/>
        <v>Liberica</v>
      </c>
      <c r="O692" t="str">
        <f t="shared" si="32"/>
        <v>Dark</v>
      </c>
      <c r="P692" t="str">
        <f>_xlfn.XLOOKUP(Table1[[#This Row],[Customer ID]],customers!$A$1:$A$1001,customers!$I$1:$I$1001,,0)</f>
        <v>No</v>
      </c>
    </row>
    <row r="693" spans="1:16" x14ac:dyDescent="0.2">
      <c r="A693" s="2" t="s">
        <v>4393</v>
      </c>
      <c r="B693" s="3">
        <v>44227</v>
      </c>
      <c r="C693" s="2" t="s">
        <v>4434</v>
      </c>
      <c r="D693" t="s">
        <v>6155</v>
      </c>
      <c r="E693" s="2">
        <v>2</v>
      </c>
      <c r="F693" s="2" t="str">
        <f>_xlfn.XLOOKUP(C693,customers!$A692:$A1692,customers!$B692:$B1692,,0)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5">
        <f>INDEX(products!$A$1:$G$49,MATCH(orders!$D693,products!$A$1:$A$49,0),MATCH(orders!K$1,products!$A$1:$G$1,0))</f>
        <v>1</v>
      </c>
      <c r="L693" s="7">
        <f>INDEX(products!$A$1:$G$49,MATCH(orders!$D693,products!$A$1:$A$49,0),MATCH(orders!L$1,products!$A$1:$G$1,0))</f>
        <v>11.25</v>
      </c>
      <c r="M693" s="7">
        <f t="shared" si="30"/>
        <v>22.5</v>
      </c>
      <c r="N693" t="str">
        <f t="shared" si="31"/>
        <v>Arabica</v>
      </c>
      <c r="O693" t="str">
        <f t="shared" si="32"/>
        <v>Medium</v>
      </c>
      <c r="P693" t="str">
        <f>_xlfn.XLOOKUP(Table1[[#This Row],[Customer ID]],customers!$A$1:$A$1001,customers!$I$1:$I$1001,,0)</f>
        <v>No</v>
      </c>
    </row>
    <row r="694" spans="1:16" x14ac:dyDescent="0.2">
      <c r="A694" s="2" t="s">
        <v>4399</v>
      </c>
      <c r="B694" s="3">
        <v>43720</v>
      </c>
      <c r="C694" s="2" t="s">
        <v>4400</v>
      </c>
      <c r="D694" t="s">
        <v>6143</v>
      </c>
      <c r="E694" s="2">
        <v>1</v>
      </c>
      <c r="F694" s="2" t="str">
        <f>_xlfn.XLOOKUP(C694,customers!$A693:$A1693,customers!$B693:$B1693,,0)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5">
        <f>INDEX(products!$A$1:$G$49,MATCH(orders!$D694,products!$A$1:$A$49,0),MATCH(orders!K$1,products!$A$1:$G$1,0))</f>
        <v>1</v>
      </c>
      <c r="L694" s="7">
        <f>INDEX(products!$A$1:$G$49,MATCH(orders!$D694,products!$A$1:$A$49,0),MATCH(orders!L$1,products!$A$1:$G$1,0))</f>
        <v>12.95</v>
      </c>
      <c r="M694" s="7">
        <f t="shared" si="30"/>
        <v>12.95</v>
      </c>
      <c r="N694" t="str">
        <f t="shared" si="31"/>
        <v>Liberica</v>
      </c>
      <c r="O694" t="str">
        <f t="shared" si="32"/>
        <v>Dark</v>
      </c>
      <c r="P694" t="str">
        <f>_xlfn.XLOOKUP(Table1[[#This Row],[Customer ID]],customers!$A$1:$A$1001,customers!$I$1:$I$1001,,0)</f>
        <v>No</v>
      </c>
    </row>
    <row r="695" spans="1:16" x14ac:dyDescent="0.2">
      <c r="A695" s="2" t="s">
        <v>4405</v>
      </c>
      <c r="B695" s="3">
        <v>44012</v>
      </c>
      <c r="C695" s="2" t="s">
        <v>4406</v>
      </c>
      <c r="D695" t="s">
        <v>6175</v>
      </c>
      <c r="E695" s="2">
        <v>2</v>
      </c>
      <c r="F695" s="2" t="str">
        <f>_xlfn.XLOOKUP(C695,customers!$A694:$A1694,customers!$B694:$B1694,,0)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5">
        <f>INDEX(products!$A$1:$G$49,MATCH(orders!$D695,products!$A$1:$A$49,0),MATCH(orders!K$1,products!$A$1:$G$1,0))</f>
        <v>2.5</v>
      </c>
      <c r="L695" s="7">
        <f>INDEX(products!$A$1:$G$49,MATCH(orders!$D695,products!$A$1:$A$49,0),MATCH(orders!L$1,products!$A$1:$G$1,0))</f>
        <v>25.874999999999996</v>
      </c>
      <c r="M695" s="7">
        <f t="shared" si="30"/>
        <v>51.749999999999993</v>
      </c>
      <c r="N695" t="str">
        <f t="shared" si="31"/>
        <v>Arabica</v>
      </c>
      <c r="O695" t="str">
        <f t="shared" si="32"/>
        <v>Medium</v>
      </c>
      <c r="P695" t="str">
        <f>_xlfn.XLOOKUP(Table1[[#This Row],[Customer ID]],customers!$A$1:$A$1001,customers!$I$1:$I$1001,,0)</f>
        <v>Yes</v>
      </c>
    </row>
    <row r="696" spans="1:16" x14ac:dyDescent="0.2">
      <c r="A696" s="2" t="s">
        <v>4411</v>
      </c>
      <c r="B696" s="3">
        <v>43915</v>
      </c>
      <c r="C696" s="2" t="s">
        <v>4412</v>
      </c>
      <c r="D696" t="s">
        <v>6144</v>
      </c>
      <c r="E696" s="2">
        <v>5</v>
      </c>
      <c r="F696" s="2" t="str">
        <f>_xlfn.XLOOKUP(C696,customers!$A695:$A1695,customers!$B695:$B1695,,0)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5">
        <f>INDEX(products!$A$1:$G$49,MATCH(orders!$D696,products!$A$1:$A$49,0),MATCH(orders!K$1,products!$A$1:$G$1,0))</f>
        <v>0.5</v>
      </c>
      <c r="L696" s="7">
        <f>INDEX(products!$A$1:$G$49,MATCH(orders!$D696,products!$A$1:$A$49,0),MATCH(orders!L$1,products!$A$1:$G$1,0))</f>
        <v>7.29</v>
      </c>
      <c r="M696" s="7">
        <f t="shared" si="30"/>
        <v>36.450000000000003</v>
      </c>
      <c r="N696" t="str">
        <f t="shared" si="31"/>
        <v>Excelsa</v>
      </c>
      <c r="O696" t="str">
        <f t="shared" si="32"/>
        <v>Dark</v>
      </c>
      <c r="P696" t="str">
        <f>_xlfn.XLOOKUP(Table1[[#This Row],[Customer ID]],customers!$A$1:$A$1001,customers!$I$1:$I$1001,,0)</f>
        <v>No</v>
      </c>
    </row>
    <row r="697" spans="1:16" x14ac:dyDescent="0.2">
      <c r="A697" s="2" t="s">
        <v>4417</v>
      </c>
      <c r="B697" s="3">
        <v>44300</v>
      </c>
      <c r="C697" s="2" t="s">
        <v>4418</v>
      </c>
      <c r="D697" t="s">
        <v>6164</v>
      </c>
      <c r="E697" s="2">
        <v>5</v>
      </c>
      <c r="F697" s="2" t="str">
        <f>_xlfn.XLOOKUP(C697,customers!$A696:$A1696,customers!$B696:$B1696,,0)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5">
        <f>INDEX(products!$A$1:$G$49,MATCH(orders!$D697,products!$A$1:$A$49,0),MATCH(orders!K$1,products!$A$1:$G$1,0))</f>
        <v>2.5</v>
      </c>
      <c r="L697" s="7">
        <f>INDEX(products!$A$1:$G$49,MATCH(orders!$D697,products!$A$1:$A$49,0),MATCH(orders!L$1,products!$A$1:$G$1,0))</f>
        <v>36.454999999999998</v>
      </c>
      <c r="M697" s="7">
        <f t="shared" si="30"/>
        <v>182.27499999999998</v>
      </c>
      <c r="N697" t="str">
        <f t="shared" si="31"/>
        <v>Liberica</v>
      </c>
      <c r="O697" t="str">
        <f t="shared" si="32"/>
        <v>Light</v>
      </c>
      <c r="P697" t="str">
        <f>_xlfn.XLOOKUP(Table1[[#This Row],[Customer ID]],customers!$A$1:$A$1001,customers!$I$1:$I$1001,,0)</f>
        <v>Yes</v>
      </c>
    </row>
    <row r="698" spans="1:16" x14ac:dyDescent="0.2">
      <c r="A698" s="2" t="s">
        <v>4423</v>
      </c>
      <c r="B698" s="3">
        <v>43693</v>
      </c>
      <c r="C698" s="2" t="s">
        <v>4424</v>
      </c>
      <c r="D698" t="s">
        <v>6169</v>
      </c>
      <c r="E698" s="2">
        <v>4</v>
      </c>
      <c r="F698" s="2" t="str">
        <f>_xlfn.XLOOKUP(C698,customers!$A697:$A1697,customers!$B697:$B1697,,0)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5">
        <f>INDEX(products!$A$1:$G$49,MATCH(orders!$D698,products!$A$1:$A$49,0),MATCH(orders!K$1,products!$A$1:$G$1,0))</f>
        <v>0.5</v>
      </c>
      <c r="L698" s="7">
        <f>INDEX(products!$A$1:$G$49,MATCH(orders!$D698,products!$A$1:$A$49,0),MATCH(orders!L$1,products!$A$1:$G$1,0))</f>
        <v>7.77</v>
      </c>
      <c r="M698" s="7">
        <f t="shared" si="30"/>
        <v>31.08</v>
      </c>
      <c r="N698" t="str">
        <f t="shared" si="31"/>
        <v>Liberica</v>
      </c>
      <c r="O698" t="str">
        <f t="shared" si="32"/>
        <v>Dark</v>
      </c>
      <c r="P698" t="str">
        <f>_xlfn.XLOOKUP(Table1[[#This Row],[Customer ID]],customers!$A$1:$A$1001,customers!$I$1:$I$1001,,0)</f>
        <v>No</v>
      </c>
    </row>
    <row r="699" spans="1:16" x14ac:dyDescent="0.2">
      <c r="A699" s="2" t="s">
        <v>4429</v>
      </c>
      <c r="B699" s="3">
        <v>44547</v>
      </c>
      <c r="C699" s="2" t="s">
        <v>4430</v>
      </c>
      <c r="D699" t="s">
        <v>6157</v>
      </c>
      <c r="E699" s="2">
        <v>3</v>
      </c>
      <c r="F699" s="2" t="str">
        <f>_xlfn.XLOOKUP(C699,customers!$A698:$A1698,customers!$B698:$B1698,,0)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5">
        <f>INDEX(products!$A$1:$G$49,MATCH(orders!$D699,products!$A$1:$A$49,0),MATCH(orders!K$1,products!$A$1:$G$1,0))</f>
        <v>0.5</v>
      </c>
      <c r="L699" s="7">
        <f>INDEX(products!$A$1:$G$49,MATCH(orders!$D699,products!$A$1:$A$49,0),MATCH(orders!L$1,products!$A$1:$G$1,0))</f>
        <v>6.75</v>
      </c>
      <c r="M699" s="7">
        <f t="shared" si="30"/>
        <v>20.25</v>
      </c>
      <c r="N699" t="str">
        <f t="shared" si="31"/>
        <v>Arabica</v>
      </c>
      <c r="O699" t="str">
        <f t="shared" si="32"/>
        <v>Medium</v>
      </c>
      <c r="P699" t="str">
        <f>_xlfn.XLOOKUP(Table1[[#This Row],[Customer ID]],customers!$A$1:$A$1001,customers!$I$1:$I$1001,,0)</f>
        <v>No</v>
      </c>
    </row>
    <row r="700" spans="1:16" x14ac:dyDescent="0.2">
      <c r="A700" s="2" t="s">
        <v>4433</v>
      </c>
      <c r="B700" s="3">
        <v>43830</v>
      </c>
      <c r="C700" s="2" t="s">
        <v>4434</v>
      </c>
      <c r="D700" t="s">
        <v>6143</v>
      </c>
      <c r="E700" s="2">
        <v>2</v>
      </c>
      <c r="F700" s="2" t="str">
        <f>_xlfn.XLOOKUP(C700,customers!$A699:$A1699,customers!$B699:$B1699,,0)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5">
        <f>INDEX(products!$A$1:$G$49,MATCH(orders!$D700,products!$A$1:$A$49,0),MATCH(orders!K$1,products!$A$1:$G$1,0))</f>
        <v>1</v>
      </c>
      <c r="L700" s="7">
        <f>INDEX(products!$A$1:$G$49,MATCH(orders!$D700,products!$A$1:$A$49,0),MATCH(orders!L$1,products!$A$1:$G$1,0))</f>
        <v>12.95</v>
      </c>
      <c r="M700" s="7">
        <f t="shared" si="30"/>
        <v>25.9</v>
      </c>
      <c r="N700" t="str">
        <f t="shared" si="31"/>
        <v>Liberica</v>
      </c>
      <c r="O700" t="str">
        <f t="shared" si="32"/>
        <v>Dark</v>
      </c>
      <c r="P700" t="str">
        <f>_xlfn.XLOOKUP(Table1[[#This Row],[Customer ID]],customers!$A$1:$A$1001,customers!$I$1:$I$1001,,0)</f>
        <v>No</v>
      </c>
    </row>
    <row r="701" spans="1:16" x14ac:dyDescent="0.2">
      <c r="A701" s="2" t="s">
        <v>4439</v>
      </c>
      <c r="B701" s="3">
        <v>44298</v>
      </c>
      <c r="C701" s="2" t="s">
        <v>4440</v>
      </c>
      <c r="D701" t="s">
        <v>6158</v>
      </c>
      <c r="E701" s="2">
        <v>4</v>
      </c>
      <c r="F701" s="2" t="str">
        <f>_xlfn.XLOOKUP(C701,customers!$A700:$A1700,customers!$B700:$B1700,,0)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5">
        <f>INDEX(products!$A$1:$G$49,MATCH(orders!$D701,products!$A$1:$A$49,0),MATCH(orders!K$1,products!$A$1:$G$1,0))</f>
        <v>0.5</v>
      </c>
      <c r="L701" s="7">
        <f>INDEX(products!$A$1:$G$49,MATCH(orders!$D701,products!$A$1:$A$49,0),MATCH(orders!L$1,products!$A$1:$G$1,0))</f>
        <v>5.97</v>
      </c>
      <c r="M701" s="7">
        <f t="shared" si="30"/>
        <v>23.88</v>
      </c>
      <c r="N701" t="str">
        <f t="shared" si="31"/>
        <v>Arabica</v>
      </c>
      <c r="O701" t="str">
        <f t="shared" si="32"/>
        <v>Dark</v>
      </c>
      <c r="P701" t="str">
        <f>_xlfn.XLOOKUP(Table1[[#This Row],[Customer ID]],customers!$A$1:$A$1001,customers!$I$1:$I$1001,,0)</f>
        <v>Yes</v>
      </c>
    </row>
    <row r="702" spans="1:16" x14ac:dyDescent="0.2">
      <c r="A702" s="2" t="s">
        <v>4445</v>
      </c>
      <c r="B702" s="3">
        <v>43736</v>
      </c>
      <c r="C702" s="2" t="s">
        <v>4446</v>
      </c>
      <c r="D702" t="s">
        <v>6161</v>
      </c>
      <c r="E702" s="2">
        <v>2</v>
      </c>
      <c r="F702" s="2" t="str">
        <f>_xlfn.XLOOKUP(C702,customers!$A701:$A1701,customers!$B701:$B1701,,0)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5">
        <f>INDEX(products!$A$1:$G$49,MATCH(orders!$D702,products!$A$1:$A$49,0),MATCH(orders!K$1,products!$A$1:$G$1,0))</f>
        <v>0.5</v>
      </c>
      <c r="L702" s="7">
        <f>INDEX(products!$A$1:$G$49,MATCH(orders!$D702,products!$A$1:$A$49,0),MATCH(orders!L$1,products!$A$1:$G$1,0))</f>
        <v>9.51</v>
      </c>
      <c r="M702" s="7">
        <f t="shared" si="30"/>
        <v>19.02</v>
      </c>
      <c r="N702" t="str">
        <f t="shared" si="31"/>
        <v>Liberica</v>
      </c>
      <c r="O702" t="str">
        <f t="shared" si="32"/>
        <v>Light</v>
      </c>
      <c r="P702" t="str">
        <f>_xlfn.XLOOKUP(Table1[[#This Row],[Customer ID]],customers!$A$1:$A$1001,customers!$I$1:$I$1001,,0)</f>
        <v>No</v>
      </c>
    </row>
    <row r="703" spans="1:16" x14ac:dyDescent="0.2">
      <c r="A703" s="2" t="s">
        <v>4450</v>
      </c>
      <c r="B703" s="3">
        <v>44727</v>
      </c>
      <c r="C703" s="2" t="s">
        <v>4451</v>
      </c>
      <c r="D703" t="s">
        <v>6158</v>
      </c>
      <c r="E703" s="2">
        <v>5</v>
      </c>
      <c r="F703" s="2" t="str">
        <f>_xlfn.XLOOKUP(C703,customers!$A702:$A1702,customers!$B702:$B1702,,0)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5">
        <f>INDEX(products!$A$1:$G$49,MATCH(orders!$D703,products!$A$1:$A$49,0),MATCH(orders!K$1,products!$A$1:$G$1,0))</f>
        <v>0.5</v>
      </c>
      <c r="L703" s="7">
        <f>INDEX(products!$A$1:$G$49,MATCH(orders!$D703,products!$A$1:$A$49,0),MATCH(orders!L$1,products!$A$1:$G$1,0))</f>
        <v>5.97</v>
      </c>
      <c r="M703" s="7">
        <f t="shared" si="30"/>
        <v>29.849999999999998</v>
      </c>
      <c r="N703" t="str">
        <f t="shared" si="31"/>
        <v>Arabica</v>
      </c>
      <c r="O703" t="str">
        <f t="shared" si="32"/>
        <v>Dark</v>
      </c>
      <c r="P703" t="str">
        <f>_xlfn.XLOOKUP(Table1[[#This Row],[Customer ID]],customers!$A$1:$A$1001,customers!$I$1:$I$1001,,0)</f>
        <v>Yes</v>
      </c>
    </row>
    <row r="704" spans="1:16" x14ac:dyDescent="0.2">
      <c r="A704" s="2" t="s">
        <v>4456</v>
      </c>
      <c r="B704" s="3">
        <v>43661</v>
      </c>
      <c r="C704" s="2" t="s">
        <v>4457</v>
      </c>
      <c r="D704" t="s">
        <v>6180</v>
      </c>
      <c r="E704" s="2">
        <v>1</v>
      </c>
      <c r="F704" s="2" t="str">
        <f>_xlfn.XLOOKUP(C704,customers!$A703:$A1703,customers!$B703:$B1703,,0)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5">
        <f>INDEX(products!$A$1:$G$49,MATCH(orders!$D704,products!$A$1:$A$49,0),MATCH(orders!K$1,products!$A$1:$G$1,0))</f>
        <v>0.5</v>
      </c>
      <c r="L704" s="7">
        <f>INDEX(products!$A$1:$G$49,MATCH(orders!$D704,products!$A$1:$A$49,0),MATCH(orders!L$1,products!$A$1:$G$1,0))</f>
        <v>7.77</v>
      </c>
      <c r="M704" s="7">
        <f t="shared" si="30"/>
        <v>7.77</v>
      </c>
      <c r="N704" t="str">
        <f t="shared" si="31"/>
        <v>Arabica</v>
      </c>
      <c r="O704" t="str">
        <f t="shared" si="32"/>
        <v>Light</v>
      </c>
      <c r="P704" t="str">
        <f>_xlfn.XLOOKUP(Table1[[#This Row],[Customer ID]],customers!$A$1:$A$1001,customers!$I$1:$I$1001,,0)</f>
        <v>Yes</v>
      </c>
    </row>
    <row r="705" spans="1:16" x14ac:dyDescent="0.2">
      <c r="A705" s="2" t="s">
        <v>4461</v>
      </c>
      <c r="B705" s="3">
        <v>43506</v>
      </c>
      <c r="C705" s="2" t="s">
        <v>4462</v>
      </c>
      <c r="D705" t="s">
        <v>6165</v>
      </c>
      <c r="E705" s="2">
        <v>4</v>
      </c>
      <c r="F705" s="2" t="str">
        <f>_xlfn.XLOOKUP(C705,customers!$A704:$A1704,customers!$B704:$B1704,,0)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5">
        <f>INDEX(products!$A$1:$G$49,MATCH(orders!$D705,products!$A$1:$A$49,0),MATCH(orders!K$1,products!$A$1:$G$1,0))</f>
        <v>2.5</v>
      </c>
      <c r="L705" s="7">
        <f>INDEX(products!$A$1:$G$49,MATCH(orders!$D705,products!$A$1:$A$49,0),MATCH(orders!L$1,products!$A$1:$G$1,0))</f>
        <v>29.784999999999997</v>
      </c>
      <c r="M705" s="7">
        <f t="shared" si="30"/>
        <v>119.13999999999999</v>
      </c>
      <c r="N705" t="str">
        <f t="shared" si="31"/>
        <v>Liberica</v>
      </c>
      <c r="O705" t="str">
        <f t="shared" si="32"/>
        <v>Dark</v>
      </c>
      <c r="P705" t="str">
        <f>_xlfn.XLOOKUP(Table1[[#This Row],[Customer ID]],customers!$A$1:$A$1001,customers!$I$1:$I$1001,,0)</f>
        <v>Yes</v>
      </c>
    </row>
    <row r="706" spans="1:16" x14ac:dyDescent="0.2">
      <c r="A706" s="2" t="s">
        <v>4466</v>
      </c>
      <c r="B706" s="3">
        <v>44716</v>
      </c>
      <c r="C706" s="2" t="s">
        <v>4467</v>
      </c>
      <c r="D706" t="s">
        <v>6153</v>
      </c>
      <c r="E706" s="2">
        <v>6</v>
      </c>
      <c r="F706" s="2" t="str">
        <f>_xlfn.XLOOKUP(C706,customers!$A705:$A1705,customers!$B705:$B1705,,0)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5">
        <f>INDEX(products!$A$1:$G$49,MATCH(orders!$D706,products!$A$1:$A$49,0),MATCH(orders!K$1,products!$A$1:$G$1,0))</f>
        <v>0.2</v>
      </c>
      <c r="L706" s="7">
        <f>INDEX(products!$A$1:$G$49,MATCH(orders!$D706,products!$A$1:$A$49,0),MATCH(orders!L$1,products!$A$1:$G$1,0))</f>
        <v>3.645</v>
      </c>
      <c r="M706" s="7">
        <f t="shared" si="30"/>
        <v>21.87</v>
      </c>
      <c r="N706" t="str">
        <f t="shared" si="31"/>
        <v>Excelsa</v>
      </c>
      <c r="O706" t="str">
        <f t="shared" si="32"/>
        <v>Dark</v>
      </c>
      <c r="P706" t="str">
        <f>_xlfn.XLOOKUP(Table1[[#This Row],[Customer ID]],customers!$A$1:$A$1001,customers!$I$1:$I$1001,,0)</f>
        <v>Yes</v>
      </c>
    </row>
    <row r="707" spans="1:16" x14ac:dyDescent="0.2">
      <c r="A707" s="2" t="s">
        <v>4471</v>
      </c>
      <c r="B707" s="3">
        <v>44114</v>
      </c>
      <c r="C707" s="2" t="s">
        <v>4472</v>
      </c>
      <c r="D707" t="s">
        <v>6176</v>
      </c>
      <c r="E707" s="2">
        <v>2</v>
      </c>
      <c r="F707" s="2" t="str">
        <f>_xlfn.XLOOKUP(C707,customers!$A706:$A1706,customers!$B706:$B1706,,0)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5">
        <f>INDEX(products!$A$1:$G$49,MATCH(orders!$D707,products!$A$1:$A$49,0),MATCH(orders!K$1,products!$A$1:$G$1,0))</f>
        <v>0.5</v>
      </c>
      <c r="L707" s="7">
        <f>INDEX(products!$A$1:$G$49,MATCH(orders!$D707,products!$A$1:$A$49,0),MATCH(orders!L$1,products!$A$1:$G$1,0))</f>
        <v>8.91</v>
      </c>
      <c r="M707" s="7">
        <f t="shared" ref="M707:M770" si="33">L707*E707</f>
        <v>17.82</v>
      </c>
      <c r="N707" t="str">
        <f t="shared" ref="N707:N770" si="34">IF(I707="Rob","Robusta",IF(I707="Ara","Arabica",IF(I707="Exc","Excelsa",IF(I707="Lib","Liberica",""))))</f>
        <v>Excelsa</v>
      </c>
      <c r="O707" t="str">
        <f t="shared" ref="O707:O770" si="35">IF(J707="M","Medium",IF(J707="L","Light",IF(J707="D","Dark","")))</f>
        <v>Light</v>
      </c>
      <c r="P707" t="str">
        <f>_xlfn.XLOOKUP(Table1[[#This Row],[Customer ID]],customers!$A$1:$A$1001,customers!$I$1:$I$1001,,0)</f>
        <v>No</v>
      </c>
    </row>
    <row r="708" spans="1:16" x14ac:dyDescent="0.2">
      <c r="A708" s="2" t="s">
        <v>4477</v>
      </c>
      <c r="B708" s="3">
        <v>44353</v>
      </c>
      <c r="C708" s="2" t="s">
        <v>4478</v>
      </c>
      <c r="D708" t="s">
        <v>6156</v>
      </c>
      <c r="E708" s="2">
        <v>3</v>
      </c>
      <c r="F708" s="2" t="str">
        <f>_xlfn.XLOOKUP(C708,customers!$A707:$A1707,customers!$B707:$B1707,,0)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5">
        <f>INDEX(products!$A$1:$G$49,MATCH(orders!$D708,products!$A$1:$A$49,0),MATCH(orders!K$1,products!$A$1:$G$1,0))</f>
        <v>0.2</v>
      </c>
      <c r="L708" s="7">
        <f>INDEX(products!$A$1:$G$49,MATCH(orders!$D708,products!$A$1:$A$49,0),MATCH(orders!L$1,products!$A$1:$G$1,0))</f>
        <v>4.125</v>
      </c>
      <c r="M708" s="7">
        <f t="shared" si="33"/>
        <v>12.375</v>
      </c>
      <c r="N708" t="str">
        <f t="shared" si="34"/>
        <v>Excelsa</v>
      </c>
      <c r="O708" t="str">
        <f t="shared" si="35"/>
        <v>Medium</v>
      </c>
      <c r="P708" t="str">
        <f>_xlfn.XLOOKUP(Table1[[#This Row],[Customer ID]],customers!$A$1:$A$1001,customers!$I$1:$I$1001,,0)</f>
        <v>No</v>
      </c>
    </row>
    <row r="709" spans="1:16" x14ac:dyDescent="0.2">
      <c r="A709" s="2" t="s">
        <v>4483</v>
      </c>
      <c r="B709" s="3">
        <v>43540</v>
      </c>
      <c r="C709" s="2" t="s">
        <v>4484</v>
      </c>
      <c r="D709" t="s">
        <v>6143</v>
      </c>
      <c r="E709" s="2">
        <v>2</v>
      </c>
      <c r="F709" s="2" t="str">
        <f>_xlfn.XLOOKUP(C709,customers!$A708:$A1708,customers!$B708:$B1708,,0)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5">
        <f>INDEX(products!$A$1:$G$49,MATCH(orders!$D709,products!$A$1:$A$49,0),MATCH(orders!K$1,products!$A$1:$G$1,0))</f>
        <v>1</v>
      </c>
      <c r="L709" s="7">
        <f>INDEX(products!$A$1:$G$49,MATCH(orders!$D709,products!$A$1:$A$49,0),MATCH(orders!L$1,products!$A$1:$G$1,0))</f>
        <v>12.95</v>
      </c>
      <c r="M709" s="7">
        <f t="shared" si="33"/>
        <v>25.9</v>
      </c>
      <c r="N709" t="str">
        <f t="shared" si="34"/>
        <v>Liberica</v>
      </c>
      <c r="O709" t="str">
        <f t="shared" si="35"/>
        <v>Dark</v>
      </c>
      <c r="P709" t="str">
        <f>_xlfn.XLOOKUP(Table1[[#This Row],[Customer ID]],customers!$A$1:$A$1001,customers!$I$1:$I$1001,,0)</f>
        <v>No</v>
      </c>
    </row>
    <row r="710" spans="1:16" x14ac:dyDescent="0.2">
      <c r="A710" s="2" t="s">
        <v>4488</v>
      </c>
      <c r="B710" s="3">
        <v>43804</v>
      </c>
      <c r="C710" s="2" t="s">
        <v>4489</v>
      </c>
      <c r="D710" t="s">
        <v>6157</v>
      </c>
      <c r="E710" s="2">
        <v>2</v>
      </c>
      <c r="F710" s="2" t="str">
        <f>_xlfn.XLOOKUP(C710,customers!$A709:$A1709,customers!$B709:$B1709,,0)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5">
        <f>INDEX(products!$A$1:$G$49,MATCH(orders!$D710,products!$A$1:$A$49,0),MATCH(orders!K$1,products!$A$1:$G$1,0))</f>
        <v>0.5</v>
      </c>
      <c r="L710" s="7">
        <f>INDEX(products!$A$1:$G$49,MATCH(orders!$D710,products!$A$1:$A$49,0),MATCH(orders!L$1,products!$A$1:$G$1,0))</f>
        <v>6.75</v>
      </c>
      <c r="M710" s="7">
        <f t="shared" si="33"/>
        <v>13.5</v>
      </c>
      <c r="N710" t="str">
        <f t="shared" si="34"/>
        <v>Arabica</v>
      </c>
      <c r="O710" t="str">
        <f t="shared" si="35"/>
        <v>Medium</v>
      </c>
      <c r="P710" t="str">
        <f>_xlfn.XLOOKUP(Table1[[#This Row],[Customer ID]],customers!$A$1:$A$1001,customers!$I$1:$I$1001,,0)</f>
        <v>Yes</v>
      </c>
    </row>
    <row r="711" spans="1:16" x14ac:dyDescent="0.2">
      <c r="A711" s="2" t="s">
        <v>4494</v>
      </c>
      <c r="B711" s="3">
        <v>43485</v>
      </c>
      <c r="C711" s="2" t="s">
        <v>4495</v>
      </c>
      <c r="D711" t="s">
        <v>6176</v>
      </c>
      <c r="E711" s="2">
        <v>2</v>
      </c>
      <c r="F711" s="2" t="str">
        <f>_xlfn.XLOOKUP(C711,customers!$A710:$A1710,customers!$B710:$B1710,,0)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5">
        <f>INDEX(products!$A$1:$G$49,MATCH(orders!$D711,products!$A$1:$A$49,0),MATCH(orders!K$1,products!$A$1:$G$1,0))</f>
        <v>0.5</v>
      </c>
      <c r="L711" s="7">
        <f>INDEX(products!$A$1:$G$49,MATCH(orders!$D711,products!$A$1:$A$49,0),MATCH(orders!L$1,products!$A$1:$G$1,0))</f>
        <v>8.91</v>
      </c>
      <c r="M711" s="7">
        <f t="shared" si="33"/>
        <v>17.82</v>
      </c>
      <c r="N711" t="str">
        <f t="shared" si="34"/>
        <v>Excelsa</v>
      </c>
      <c r="O711" t="str">
        <f t="shared" si="35"/>
        <v>Light</v>
      </c>
      <c r="P711" t="str">
        <f>_xlfn.XLOOKUP(Table1[[#This Row],[Customer ID]],customers!$A$1:$A$1001,customers!$I$1:$I$1001,,0)</f>
        <v>Yes</v>
      </c>
    </row>
    <row r="712" spans="1:16" x14ac:dyDescent="0.2">
      <c r="A712" s="2" t="s">
        <v>4499</v>
      </c>
      <c r="B712" s="3">
        <v>44655</v>
      </c>
      <c r="C712" s="2" t="s">
        <v>4500</v>
      </c>
      <c r="D712" t="s">
        <v>6139</v>
      </c>
      <c r="E712" s="2">
        <v>3</v>
      </c>
      <c r="F712" s="2" t="str">
        <f>_xlfn.XLOOKUP(C712,customers!$A711:$A1711,customers!$B711:$B1711,,0)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5">
        <f>INDEX(products!$A$1:$G$49,MATCH(orders!$D712,products!$A$1:$A$49,0),MATCH(orders!K$1,products!$A$1:$G$1,0))</f>
        <v>0.5</v>
      </c>
      <c r="L712" s="7">
        <f>INDEX(products!$A$1:$G$49,MATCH(orders!$D712,products!$A$1:$A$49,0),MATCH(orders!L$1,products!$A$1:$G$1,0))</f>
        <v>8.25</v>
      </c>
      <c r="M712" s="7">
        <f t="shared" si="33"/>
        <v>24.75</v>
      </c>
      <c r="N712" t="str">
        <f t="shared" si="34"/>
        <v>Excelsa</v>
      </c>
      <c r="O712" t="str">
        <f t="shared" si="35"/>
        <v>Medium</v>
      </c>
      <c r="P712" t="str">
        <f>_xlfn.XLOOKUP(Table1[[#This Row],[Customer ID]],customers!$A$1:$A$1001,customers!$I$1:$I$1001,,0)</f>
        <v>No</v>
      </c>
    </row>
    <row r="713" spans="1:16" x14ac:dyDescent="0.2">
      <c r="A713" s="2" t="s">
        <v>4505</v>
      </c>
      <c r="B713" s="3">
        <v>44600</v>
      </c>
      <c r="C713" s="2" t="s">
        <v>4506</v>
      </c>
      <c r="D713" t="s">
        <v>6174</v>
      </c>
      <c r="E713" s="2">
        <v>6</v>
      </c>
      <c r="F713" s="2" t="str">
        <f>_xlfn.XLOOKUP(C713,customers!$A712:$A1712,customers!$B712:$B1712,,0)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5">
        <f>INDEX(products!$A$1:$G$49,MATCH(orders!$D713,products!$A$1:$A$49,0),MATCH(orders!K$1,products!$A$1:$G$1,0))</f>
        <v>0.2</v>
      </c>
      <c r="L713" s="7">
        <f>INDEX(products!$A$1:$G$49,MATCH(orders!$D713,products!$A$1:$A$49,0),MATCH(orders!L$1,products!$A$1:$G$1,0))</f>
        <v>2.9849999999999999</v>
      </c>
      <c r="M713" s="7">
        <f t="shared" si="33"/>
        <v>17.91</v>
      </c>
      <c r="N713" t="str">
        <f t="shared" si="34"/>
        <v>Robusta</v>
      </c>
      <c r="O713" t="str">
        <f t="shared" si="35"/>
        <v>Medium</v>
      </c>
      <c r="P713" t="str">
        <f>_xlfn.XLOOKUP(Table1[[#This Row],[Customer ID]],customers!$A$1:$A$1001,customers!$I$1:$I$1001,,0)</f>
        <v>No</v>
      </c>
    </row>
    <row r="714" spans="1:16" x14ac:dyDescent="0.2">
      <c r="A714" s="2" t="s">
        <v>4512</v>
      </c>
      <c r="B714" s="3">
        <v>43646</v>
      </c>
      <c r="C714" s="2" t="s">
        <v>4513</v>
      </c>
      <c r="D714" t="s">
        <v>6139</v>
      </c>
      <c r="E714" s="2">
        <v>2</v>
      </c>
      <c r="F714" s="2" t="str">
        <f>_xlfn.XLOOKUP(C714,customers!$A713:$A1713,customers!$B713:$B1713,,0)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5">
        <f>INDEX(products!$A$1:$G$49,MATCH(orders!$D714,products!$A$1:$A$49,0),MATCH(orders!K$1,products!$A$1:$G$1,0))</f>
        <v>0.5</v>
      </c>
      <c r="L714" s="7">
        <f>INDEX(products!$A$1:$G$49,MATCH(orders!$D714,products!$A$1:$A$49,0),MATCH(orders!L$1,products!$A$1:$G$1,0))</f>
        <v>8.25</v>
      </c>
      <c r="M714" s="7">
        <f t="shared" si="33"/>
        <v>16.5</v>
      </c>
      <c r="N714" t="str">
        <f t="shared" si="34"/>
        <v>Excelsa</v>
      </c>
      <c r="O714" t="str">
        <f t="shared" si="35"/>
        <v>Medium</v>
      </c>
      <c r="P714" t="str">
        <f>_xlfn.XLOOKUP(Table1[[#This Row],[Customer ID]],customers!$A$1:$A$1001,customers!$I$1:$I$1001,,0)</f>
        <v>No</v>
      </c>
    </row>
    <row r="715" spans="1:16" x14ac:dyDescent="0.2">
      <c r="A715" s="2" t="s">
        <v>4516</v>
      </c>
      <c r="B715" s="3">
        <v>43960</v>
      </c>
      <c r="C715" s="2" t="s">
        <v>4517</v>
      </c>
      <c r="D715" t="s">
        <v>6174</v>
      </c>
      <c r="E715" s="2">
        <v>1</v>
      </c>
      <c r="F715" s="2" t="str">
        <f>_xlfn.XLOOKUP(C715,customers!$A714:$A1714,customers!$B714:$B1714,,0)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5">
        <f>INDEX(products!$A$1:$G$49,MATCH(orders!$D715,products!$A$1:$A$49,0),MATCH(orders!K$1,products!$A$1:$G$1,0))</f>
        <v>0.2</v>
      </c>
      <c r="L715" s="7">
        <f>INDEX(products!$A$1:$G$49,MATCH(orders!$D715,products!$A$1:$A$49,0),MATCH(orders!L$1,products!$A$1:$G$1,0))</f>
        <v>2.9849999999999999</v>
      </c>
      <c r="M715" s="7">
        <f t="shared" si="33"/>
        <v>2.9849999999999999</v>
      </c>
      <c r="N715" t="str">
        <f t="shared" si="34"/>
        <v>Robusta</v>
      </c>
      <c r="O715" t="str">
        <f t="shared" si="35"/>
        <v>Medium</v>
      </c>
      <c r="P715" t="str">
        <f>_xlfn.XLOOKUP(Table1[[#This Row],[Customer ID]],customers!$A$1:$A$1001,customers!$I$1:$I$1001,,0)</f>
        <v>No</v>
      </c>
    </row>
    <row r="716" spans="1:16" x14ac:dyDescent="0.2">
      <c r="A716" s="2" t="s">
        <v>4522</v>
      </c>
      <c r="B716" s="3">
        <v>44358</v>
      </c>
      <c r="C716" s="2" t="s">
        <v>4523</v>
      </c>
      <c r="D716" t="s">
        <v>6153</v>
      </c>
      <c r="E716" s="2">
        <v>4</v>
      </c>
      <c r="F716" s="2" t="str">
        <f>_xlfn.XLOOKUP(C716,customers!$A715:$A1715,customers!$B715:$B1715,,0)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5">
        <f>INDEX(products!$A$1:$G$49,MATCH(orders!$D716,products!$A$1:$A$49,0),MATCH(orders!K$1,products!$A$1:$G$1,0))</f>
        <v>0.2</v>
      </c>
      <c r="L716" s="7">
        <f>INDEX(products!$A$1:$G$49,MATCH(orders!$D716,products!$A$1:$A$49,0),MATCH(orders!L$1,products!$A$1:$G$1,0))</f>
        <v>3.645</v>
      </c>
      <c r="M716" s="7">
        <f t="shared" si="33"/>
        <v>14.58</v>
      </c>
      <c r="N716" t="str">
        <f t="shared" si="34"/>
        <v>Excelsa</v>
      </c>
      <c r="O716" t="str">
        <f t="shared" si="35"/>
        <v>Dark</v>
      </c>
      <c r="P716" t="str">
        <f>_xlfn.XLOOKUP(Table1[[#This Row],[Customer ID]],customers!$A$1:$A$1001,customers!$I$1:$I$1001,,0)</f>
        <v>Yes</v>
      </c>
    </row>
    <row r="717" spans="1:16" x14ac:dyDescent="0.2">
      <c r="A717" s="2" t="s">
        <v>4528</v>
      </c>
      <c r="B717" s="3">
        <v>44504</v>
      </c>
      <c r="C717" s="2" t="s">
        <v>4529</v>
      </c>
      <c r="D717" t="s">
        <v>6171</v>
      </c>
      <c r="E717" s="2">
        <v>6</v>
      </c>
      <c r="F717" s="2" t="str">
        <f>_xlfn.XLOOKUP(C717,customers!$A716:$A1716,customers!$B716:$B1716,,0)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5">
        <f>INDEX(products!$A$1:$G$49,MATCH(orders!$D717,products!$A$1:$A$49,0),MATCH(orders!K$1,products!$A$1:$G$1,0))</f>
        <v>1</v>
      </c>
      <c r="L717" s="7">
        <f>INDEX(products!$A$1:$G$49,MATCH(orders!$D717,products!$A$1:$A$49,0),MATCH(orders!L$1,products!$A$1:$G$1,0))</f>
        <v>14.85</v>
      </c>
      <c r="M717" s="7">
        <f t="shared" si="33"/>
        <v>89.1</v>
      </c>
      <c r="N717" t="str">
        <f t="shared" si="34"/>
        <v>Excelsa</v>
      </c>
      <c r="O717" t="str">
        <f t="shared" si="35"/>
        <v>Light</v>
      </c>
      <c r="P717" t="str">
        <f>_xlfn.XLOOKUP(Table1[[#This Row],[Customer ID]],customers!$A$1:$A$1001,customers!$I$1:$I$1001,,0)</f>
        <v>No</v>
      </c>
    </row>
    <row r="718" spans="1:16" x14ac:dyDescent="0.2">
      <c r="A718" s="2" t="s">
        <v>4533</v>
      </c>
      <c r="B718" s="3">
        <v>44612</v>
      </c>
      <c r="C718" s="2" t="s">
        <v>4434</v>
      </c>
      <c r="D718" t="s">
        <v>6179</v>
      </c>
      <c r="E718" s="2">
        <v>3</v>
      </c>
      <c r="F718" s="2" t="e">
        <f>_xlfn.XLOOKUP(C718,customers!$A717:$A1717,customers!$B717:$B1717,,0)</f>
        <v>#N/A</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5">
        <f>INDEX(products!$A$1:$G$49,MATCH(orders!$D718,products!$A$1:$A$49,0),MATCH(orders!K$1,products!$A$1:$G$1,0))</f>
        <v>1</v>
      </c>
      <c r="L718" s="7">
        <f>INDEX(products!$A$1:$G$49,MATCH(orders!$D718,products!$A$1:$A$49,0),MATCH(orders!L$1,products!$A$1:$G$1,0))</f>
        <v>11.95</v>
      </c>
      <c r="M718" s="7">
        <f t="shared" si="33"/>
        <v>35.849999999999994</v>
      </c>
      <c r="N718" t="str">
        <f t="shared" si="34"/>
        <v>Robusta</v>
      </c>
      <c r="O718" t="str">
        <f t="shared" si="35"/>
        <v>Light</v>
      </c>
      <c r="P718" t="str">
        <f>_xlfn.XLOOKUP(Table1[[#This Row],[Customer ID]],customers!$A$1:$A$1001,customers!$I$1:$I$1001,,0)</f>
        <v>No</v>
      </c>
    </row>
    <row r="719" spans="1:16" x14ac:dyDescent="0.2">
      <c r="A719" s="2" t="s">
        <v>4539</v>
      </c>
      <c r="B719" s="3">
        <v>43649</v>
      </c>
      <c r="C719" s="2" t="s">
        <v>4540</v>
      </c>
      <c r="D719" t="s">
        <v>6168</v>
      </c>
      <c r="E719" s="2">
        <v>3</v>
      </c>
      <c r="F719" s="2" t="str">
        <f>_xlfn.XLOOKUP(C719,customers!$A718:$A1718,customers!$B718:$B1718,,0)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5">
        <f>INDEX(products!$A$1:$G$49,MATCH(orders!$D719,products!$A$1:$A$49,0),MATCH(orders!K$1,products!$A$1:$G$1,0))</f>
        <v>2.5</v>
      </c>
      <c r="L719" s="7">
        <f>INDEX(products!$A$1:$G$49,MATCH(orders!$D719,products!$A$1:$A$49,0),MATCH(orders!L$1,products!$A$1:$G$1,0))</f>
        <v>22.884999999999998</v>
      </c>
      <c r="M719" s="7">
        <f t="shared" si="33"/>
        <v>68.655000000000001</v>
      </c>
      <c r="N719" t="str">
        <f t="shared" si="34"/>
        <v>Arabica</v>
      </c>
      <c r="O719" t="str">
        <f t="shared" si="35"/>
        <v>Dark</v>
      </c>
      <c r="P719" t="str">
        <f>_xlfn.XLOOKUP(Table1[[#This Row],[Customer ID]],customers!$A$1:$A$1001,customers!$I$1:$I$1001,,0)</f>
        <v>No</v>
      </c>
    </row>
    <row r="720" spans="1:16" x14ac:dyDescent="0.2">
      <c r="A720" s="2" t="s">
        <v>4545</v>
      </c>
      <c r="B720" s="3">
        <v>44348</v>
      </c>
      <c r="C720" s="2" t="s">
        <v>4546</v>
      </c>
      <c r="D720" t="s">
        <v>6143</v>
      </c>
      <c r="E720" s="2">
        <v>3</v>
      </c>
      <c r="F720" s="2" t="str">
        <f>_xlfn.XLOOKUP(C720,customers!$A719:$A1719,customers!$B719:$B1719,,0)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5">
        <f>INDEX(products!$A$1:$G$49,MATCH(orders!$D720,products!$A$1:$A$49,0),MATCH(orders!K$1,products!$A$1:$G$1,0))</f>
        <v>1</v>
      </c>
      <c r="L720" s="7">
        <f>INDEX(products!$A$1:$G$49,MATCH(orders!$D720,products!$A$1:$A$49,0),MATCH(orders!L$1,products!$A$1:$G$1,0))</f>
        <v>12.95</v>
      </c>
      <c r="M720" s="7">
        <f t="shared" si="33"/>
        <v>38.849999999999994</v>
      </c>
      <c r="N720" t="str">
        <f t="shared" si="34"/>
        <v>Liberica</v>
      </c>
      <c r="O720" t="str">
        <f t="shared" si="35"/>
        <v>Dark</v>
      </c>
      <c r="P720" t="str">
        <f>_xlfn.XLOOKUP(Table1[[#This Row],[Customer ID]],customers!$A$1:$A$1001,customers!$I$1:$I$1001,,0)</f>
        <v>No</v>
      </c>
    </row>
    <row r="721" spans="1:16" x14ac:dyDescent="0.2">
      <c r="A721" s="2" t="s">
        <v>4551</v>
      </c>
      <c r="B721" s="3">
        <v>44150</v>
      </c>
      <c r="C721" s="2" t="s">
        <v>4552</v>
      </c>
      <c r="D721" t="s">
        <v>6170</v>
      </c>
      <c r="E721" s="2">
        <v>5</v>
      </c>
      <c r="F721" s="2" t="str">
        <f>_xlfn.XLOOKUP(C721,customers!$A720:$A1720,customers!$B720:$B1720,,0)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5">
        <f>INDEX(products!$A$1:$G$49,MATCH(orders!$D721,products!$A$1:$A$49,0),MATCH(orders!K$1,products!$A$1:$G$1,0))</f>
        <v>1</v>
      </c>
      <c r="L721" s="7">
        <f>INDEX(products!$A$1:$G$49,MATCH(orders!$D721,products!$A$1:$A$49,0),MATCH(orders!L$1,products!$A$1:$G$1,0))</f>
        <v>15.85</v>
      </c>
      <c r="M721" s="7">
        <f t="shared" si="33"/>
        <v>79.25</v>
      </c>
      <c r="N721" t="str">
        <f t="shared" si="34"/>
        <v>Liberica</v>
      </c>
      <c r="O721" t="str">
        <f t="shared" si="35"/>
        <v>Light</v>
      </c>
      <c r="P721" t="str">
        <f>_xlfn.XLOOKUP(Table1[[#This Row],[Customer ID]],customers!$A$1:$A$1001,customers!$I$1:$I$1001,,0)</f>
        <v>Yes</v>
      </c>
    </row>
    <row r="722" spans="1:16" x14ac:dyDescent="0.2">
      <c r="A722" s="2" t="s">
        <v>4557</v>
      </c>
      <c r="B722" s="3">
        <v>44215</v>
      </c>
      <c r="C722" s="2" t="s">
        <v>4558</v>
      </c>
      <c r="D722" t="s">
        <v>6144</v>
      </c>
      <c r="E722" s="2">
        <v>5</v>
      </c>
      <c r="F722" s="2" t="str">
        <f>_xlfn.XLOOKUP(C722,customers!$A721:$A1721,customers!$B721:$B1721,,0)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5">
        <f>INDEX(products!$A$1:$G$49,MATCH(orders!$D722,products!$A$1:$A$49,0),MATCH(orders!K$1,products!$A$1:$G$1,0))</f>
        <v>0.5</v>
      </c>
      <c r="L722" s="7">
        <f>INDEX(products!$A$1:$G$49,MATCH(orders!$D722,products!$A$1:$A$49,0),MATCH(orders!L$1,products!$A$1:$G$1,0))</f>
        <v>7.29</v>
      </c>
      <c r="M722" s="7">
        <f t="shared" si="33"/>
        <v>36.450000000000003</v>
      </c>
      <c r="N722" t="str">
        <f t="shared" si="34"/>
        <v>Excelsa</v>
      </c>
      <c r="O722" t="str">
        <f t="shared" si="35"/>
        <v>Dark</v>
      </c>
      <c r="P722" t="str">
        <f>_xlfn.XLOOKUP(Table1[[#This Row],[Customer ID]],customers!$A$1:$A$1001,customers!$I$1:$I$1001,,0)</f>
        <v>Yes</v>
      </c>
    </row>
    <row r="723" spans="1:16" x14ac:dyDescent="0.2">
      <c r="A723" s="2" t="s">
        <v>4563</v>
      </c>
      <c r="B723" s="3">
        <v>44479</v>
      </c>
      <c r="C723" s="2" t="s">
        <v>4564</v>
      </c>
      <c r="D723" t="s">
        <v>6174</v>
      </c>
      <c r="E723" s="2">
        <v>3</v>
      </c>
      <c r="F723" s="2" t="str">
        <f>_xlfn.XLOOKUP(C723,customers!$A722:$A1722,customers!$B722:$B1722,,0)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5">
        <f>INDEX(products!$A$1:$G$49,MATCH(orders!$D723,products!$A$1:$A$49,0),MATCH(orders!K$1,products!$A$1:$G$1,0))</f>
        <v>0.2</v>
      </c>
      <c r="L723" s="7">
        <f>INDEX(products!$A$1:$G$49,MATCH(orders!$D723,products!$A$1:$A$49,0),MATCH(orders!L$1,products!$A$1:$G$1,0))</f>
        <v>2.9849999999999999</v>
      </c>
      <c r="M723" s="7">
        <f t="shared" si="33"/>
        <v>8.9550000000000001</v>
      </c>
      <c r="N723" t="str">
        <f t="shared" si="34"/>
        <v>Robusta</v>
      </c>
      <c r="O723" t="str">
        <f t="shared" si="35"/>
        <v>Medium</v>
      </c>
      <c r="P723" t="str">
        <f>_xlfn.XLOOKUP(Table1[[#This Row],[Customer ID]],customers!$A$1:$A$1001,customers!$I$1:$I$1001,,0)</f>
        <v>Yes</v>
      </c>
    </row>
    <row r="724" spans="1:16" x14ac:dyDescent="0.2">
      <c r="A724" s="2" t="s">
        <v>4569</v>
      </c>
      <c r="B724" s="3">
        <v>44620</v>
      </c>
      <c r="C724" s="2" t="s">
        <v>4570</v>
      </c>
      <c r="D724" t="s">
        <v>6183</v>
      </c>
      <c r="E724" s="2">
        <v>2</v>
      </c>
      <c r="F724" s="2" t="str">
        <f>_xlfn.XLOOKUP(C724,customers!$A723:$A1723,customers!$B723:$B1723,,0)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5">
        <f>INDEX(products!$A$1:$G$49,MATCH(orders!$D724,products!$A$1:$A$49,0),MATCH(orders!K$1,products!$A$1:$G$1,0))</f>
        <v>1</v>
      </c>
      <c r="L724" s="7">
        <f>INDEX(products!$A$1:$G$49,MATCH(orders!$D724,products!$A$1:$A$49,0),MATCH(orders!L$1,products!$A$1:$G$1,0))</f>
        <v>12.15</v>
      </c>
      <c r="M724" s="7">
        <f t="shared" si="33"/>
        <v>24.3</v>
      </c>
      <c r="N724" t="str">
        <f t="shared" si="34"/>
        <v>Excelsa</v>
      </c>
      <c r="O724" t="str">
        <f t="shared" si="35"/>
        <v>Dark</v>
      </c>
      <c r="P724" t="str">
        <f>_xlfn.XLOOKUP(Table1[[#This Row],[Customer ID]],customers!$A$1:$A$1001,customers!$I$1:$I$1001,,0)</f>
        <v>No</v>
      </c>
    </row>
    <row r="725" spans="1:16" x14ac:dyDescent="0.2">
      <c r="A725" s="2" t="s">
        <v>4574</v>
      </c>
      <c r="B725" s="3">
        <v>44470</v>
      </c>
      <c r="C725" s="2" t="s">
        <v>4575</v>
      </c>
      <c r="D725" t="s">
        <v>6166</v>
      </c>
      <c r="E725" s="2">
        <v>2</v>
      </c>
      <c r="F725" s="2" t="str">
        <f>_xlfn.XLOOKUP(C725,customers!$A724:$A1724,customers!$B724:$B1724,,0)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5">
        <f>INDEX(products!$A$1:$G$49,MATCH(orders!$D725,products!$A$1:$A$49,0),MATCH(orders!K$1,products!$A$1:$G$1,0))</f>
        <v>2.5</v>
      </c>
      <c r="L725" s="7">
        <f>INDEX(products!$A$1:$G$49,MATCH(orders!$D725,products!$A$1:$A$49,0),MATCH(orders!L$1,products!$A$1:$G$1,0))</f>
        <v>31.624999999999996</v>
      </c>
      <c r="M725" s="7">
        <f t="shared" si="33"/>
        <v>63.249999999999993</v>
      </c>
      <c r="N725" t="str">
        <f t="shared" si="34"/>
        <v>Excelsa</v>
      </c>
      <c r="O725" t="str">
        <f t="shared" si="35"/>
        <v>Medium</v>
      </c>
      <c r="P725" t="str">
        <f>_xlfn.XLOOKUP(Table1[[#This Row],[Customer ID]],customers!$A$1:$A$1001,customers!$I$1:$I$1001,,0)</f>
        <v>No</v>
      </c>
    </row>
    <row r="726" spans="1:16" x14ac:dyDescent="0.2">
      <c r="A726" s="2" t="s">
        <v>4580</v>
      </c>
      <c r="B726" s="3">
        <v>44076</v>
      </c>
      <c r="C726" s="2" t="s">
        <v>4581</v>
      </c>
      <c r="D726" t="s">
        <v>6152</v>
      </c>
      <c r="E726" s="2">
        <v>2</v>
      </c>
      <c r="F726" s="2" t="str">
        <f>_xlfn.XLOOKUP(C726,customers!$A725:$A1725,customers!$B725:$B1725,,0)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5">
        <f>INDEX(products!$A$1:$G$49,MATCH(orders!$D726,products!$A$1:$A$49,0),MATCH(orders!K$1,products!$A$1:$G$1,0))</f>
        <v>0.2</v>
      </c>
      <c r="L726" s="7">
        <f>INDEX(products!$A$1:$G$49,MATCH(orders!$D726,products!$A$1:$A$49,0),MATCH(orders!L$1,products!$A$1:$G$1,0))</f>
        <v>3.375</v>
      </c>
      <c r="M726" s="7">
        <f t="shared" si="33"/>
        <v>6.75</v>
      </c>
      <c r="N726" t="str">
        <f t="shared" si="34"/>
        <v>Arabica</v>
      </c>
      <c r="O726" t="str">
        <f t="shared" si="35"/>
        <v>Medium</v>
      </c>
      <c r="P726" t="str">
        <f>_xlfn.XLOOKUP(Table1[[#This Row],[Customer ID]],customers!$A$1:$A$1001,customers!$I$1:$I$1001,,0)</f>
        <v>Yes</v>
      </c>
    </row>
    <row r="727" spans="1:16" x14ac:dyDescent="0.2">
      <c r="A727" s="2" t="s">
        <v>4585</v>
      </c>
      <c r="B727" s="3">
        <v>44043</v>
      </c>
      <c r="C727" s="2" t="s">
        <v>4586</v>
      </c>
      <c r="D727" t="s">
        <v>6167</v>
      </c>
      <c r="E727" s="2">
        <v>6</v>
      </c>
      <c r="F727" s="2" t="str">
        <f>_xlfn.XLOOKUP(C727,customers!$A726:$A1726,customers!$B726:$B1726,,0)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5">
        <f>INDEX(products!$A$1:$G$49,MATCH(orders!$D727,products!$A$1:$A$49,0),MATCH(orders!K$1,products!$A$1:$G$1,0))</f>
        <v>0.2</v>
      </c>
      <c r="L727" s="7">
        <f>INDEX(products!$A$1:$G$49,MATCH(orders!$D727,products!$A$1:$A$49,0),MATCH(orders!L$1,products!$A$1:$G$1,0))</f>
        <v>3.8849999999999998</v>
      </c>
      <c r="M727" s="7">
        <f t="shared" si="33"/>
        <v>23.31</v>
      </c>
      <c r="N727" t="str">
        <f t="shared" si="34"/>
        <v>Arabica</v>
      </c>
      <c r="O727" t="str">
        <f t="shared" si="35"/>
        <v>Light</v>
      </c>
      <c r="P727" t="str">
        <f>_xlfn.XLOOKUP(Table1[[#This Row],[Customer ID]],customers!$A$1:$A$1001,customers!$I$1:$I$1001,,0)</f>
        <v>No</v>
      </c>
    </row>
    <row r="728" spans="1:16" x14ac:dyDescent="0.2">
      <c r="A728" s="2" t="s">
        <v>4591</v>
      </c>
      <c r="B728" s="3">
        <v>44571</v>
      </c>
      <c r="C728" s="2" t="s">
        <v>4592</v>
      </c>
      <c r="D728" t="s">
        <v>6164</v>
      </c>
      <c r="E728" s="2">
        <v>4</v>
      </c>
      <c r="F728" s="2" t="str">
        <f>_xlfn.XLOOKUP(C728,customers!$A727:$A1727,customers!$B727:$B1727,,0)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5">
        <f>INDEX(products!$A$1:$G$49,MATCH(orders!$D728,products!$A$1:$A$49,0),MATCH(orders!K$1,products!$A$1:$G$1,0))</f>
        <v>2.5</v>
      </c>
      <c r="L728" s="7">
        <f>INDEX(products!$A$1:$G$49,MATCH(orders!$D728,products!$A$1:$A$49,0),MATCH(orders!L$1,products!$A$1:$G$1,0))</f>
        <v>36.454999999999998</v>
      </c>
      <c r="M728" s="7">
        <f t="shared" si="33"/>
        <v>145.82</v>
      </c>
      <c r="N728" t="str">
        <f t="shared" si="34"/>
        <v>Liberica</v>
      </c>
      <c r="O728" t="str">
        <f t="shared" si="35"/>
        <v>Light</v>
      </c>
      <c r="P728" t="str">
        <f>_xlfn.XLOOKUP(Table1[[#This Row],[Customer ID]],customers!$A$1:$A$1001,customers!$I$1:$I$1001,,0)</f>
        <v>No</v>
      </c>
    </row>
    <row r="729" spans="1:16" x14ac:dyDescent="0.2">
      <c r="A729" s="2" t="s">
        <v>4596</v>
      </c>
      <c r="B729" s="3">
        <v>44264</v>
      </c>
      <c r="C729" s="2" t="s">
        <v>4597</v>
      </c>
      <c r="D729" t="s">
        <v>6146</v>
      </c>
      <c r="E729" s="2">
        <v>5</v>
      </c>
      <c r="F729" s="2" t="str">
        <f>_xlfn.XLOOKUP(C729,customers!$A728:$A1728,customers!$B728:$B1728,,0)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5">
        <f>INDEX(products!$A$1:$G$49,MATCH(orders!$D729,products!$A$1:$A$49,0),MATCH(orders!K$1,products!$A$1:$G$1,0))</f>
        <v>0.5</v>
      </c>
      <c r="L729" s="7">
        <f>INDEX(products!$A$1:$G$49,MATCH(orders!$D729,products!$A$1:$A$49,0),MATCH(orders!L$1,products!$A$1:$G$1,0))</f>
        <v>5.97</v>
      </c>
      <c r="M729" s="7">
        <f t="shared" si="33"/>
        <v>29.849999999999998</v>
      </c>
      <c r="N729" t="str">
        <f t="shared" si="34"/>
        <v>Robusta</v>
      </c>
      <c r="O729" t="str">
        <f t="shared" si="35"/>
        <v>Medium</v>
      </c>
      <c r="P729" t="str">
        <f>_xlfn.XLOOKUP(Table1[[#This Row],[Customer ID]],customers!$A$1:$A$1001,customers!$I$1:$I$1001,,0)</f>
        <v>Yes</v>
      </c>
    </row>
    <row r="730" spans="1:16" x14ac:dyDescent="0.2">
      <c r="A730" s="2" t="s">
        <v>4602</v>
      </c>
      <c r="B730" s="3">
        <v>44155</v>
      </c>
      <c r="C730" s="2" t="s">
        <v>4603</v>
      </c>
      <c r="D730" t="s">
        <v>6144</v>
      </c>
      <c r="E730" s="2">
        <v>3</v>
      </c>
      <c r="F730" s="2" t="str">
        <f>_xlfn.XLOOKUP(C730,customers!$A729:$A1729,customers!$B729:$B1729,,0)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5">
        <f>INDEX(products!$A$1:$G$49,MATCH(orders!$D730,products!$A$1:$A$49,0),MATCH(orders!K$1,products!$A$1:$G$1,0))</f>
        <v>0.5</v>
      </c>
      <c r="L730" s="7">
        <f>INDEX(products!$A$1:$G$49,MATCH(orders!$D730,products!$A$1:$A$49,0),MATCH(orders!L$1,products!$A$1:$G$1,0))</f>
        <v>7.29</v>
      </c>
      <c r="M730" s="7">
        <f t="shared" si="33"/>
        <v>21.87</v>
      </c>
      <c r="N730" t="str">
        <f t="shared" si="34"/>
        <v>Excelsa</v>
      </c>
      <c r="O730" t="str">
        <f t="shared" si="35"/>
        <v>Dark</v>
      </c>
      <c r="P730" t="str">
        <f>_xlfn.XLOOKUP(Table1[[#This Row],[Customer ID]],customers!$A$1:$A$1001,customers!$I$1:$I$1001,,0)</f>
        <v>Yes</v>
      </c>
    </row>
    <row r="731" spans="1:16" x14ac:dyDescent="0.2">
      <c r="A731" s="2" t="s">
        <v>4608</v>
      </c>
      <c r="B731" s="3">
        <v>44634</v>
      </c>
      <c r="C731" s="2" t="s">
        <v>4609</v>
      </c>
      <c r="D731" t="s">
        <v>6159</v>
      </c>
      <c r="E731" s="2">
        <v>1</v>
      </c>
      <c r="F731" s="2" t="str">
        <f>_xlfn.XLOOKUP(C731,customers!$A730:$A1730,customers!$B730:$B1730,,0)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5">
        <f>INDEX(products!$A$1:$G$49,MATCH(orders!$D731,products!$A$1:$A$49,0),MATCH(orders!K$1,products!$A$1:$G$1,0))</f>
        <v>0.2</v>
      </c>
      <c r="L731" s="7">
        <f>INDEX(products!$A$1:$G$49,MATCH(orders!$D731,products!$A$1:$A$49,0),MATCH(orders!L$1,products!$A$1:$G$1,0))</f>
        <v>4.3650000000000002</v>
      </c>
      <c r="M731" s="7">
        <f t="shared" si="33"/>
        <v>4.3650000000000002</v>
      </c>
      <c r="N731" t="str">
        <f t="shared" si="34"/>
        <v>Liberica</v>
      </c>
      <c r="O731" t="str">
        <f t="shared" si="35"/>
        <v>Medium</v>
      </c>
      <c r="P731" t="str">
        <f>_xlfn.XLOOKUP(Table1[[#This Row],[Customer ID]],customers!$A$1:$A$1001,customers!$I$1:$I$1001,,0)</f>
        <v>No</v>
      </c>
    </row>
    <row r="732" spans="1:16" x14ac:dyDescent="0.2">
      <c r="A732" s="2" t="s">
        <v>4614</v>
      </c>
      <c r="B732" s="3">
        <v>43475</v>
      </c>
      <c r="C732" s="2" t="s">
        <v>4615</v>
      </c>
      <c r="D732" t="s">
        <v>6164</v>
      </c>
      <c r="E732" s="2">
        <v>1</v>
      </c>
      <c r="F732" s="2" t="str">
        <f>_xlfn.XLOOKUP(C732,customers!$A731:$A1731,customers!$B731:$B1731,,0)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5">
        <f>INDEX(products!$A$1:$G$49,MATCH(orders!$D732,products!$A$1:$A$49,0),MATCH(orders!K$1,products!$A$1:$G$1,0))</f>
        <v>2.5</v>
      </c>
      <c r="L732" s="7">
        <f>INDEX(products!$A$1:$G$49,MATCH(orders!$D732,products!$A$1:$A$49,0),MATCH(orders!L$1,products!$A$1:$G$1,0))</f>
        <v>36.454999999999998</v>
      </c>
      <c r="M732" s="7">
        <f t="shared" si="33"/>
        <v>36.454999999999998</v>
      </c>
      <c r="N732" t="str">
        <f t="shared" si="34"/>
        <v>Liberica</v>
      </c>
      <c r="O732" t="str">
        <f t="shared" si="35"/>
        <v>Light</v>
      </c>
      <c r="P732" t="str">
        <f>_xlfn.XLOOKUP(Table1[[#This Row],[Customer ID]],customers!$A$1:$A$1001,customers!$I$1:$I$1001,,0)</f>
        <v>No</v>
      </c>
    </row>
    <row r="733" spans="1:16" x14ac:dyDescent="0.2">
      <c r="A733" s="2" t="s">
        <v>4620</v>
      </c>
      <c r="B733" s="3">
        <v>44222</v>
      </c>
      <c r="C733" s="2" t="s">
        <v>4621</v>
      </c>
      <c r="D733" t="s">
        <v>6150</v>
      </c>
      <c r="E733" s="2">
        <v>4</v>
      </c>
      <c r="F733" s="2" t="str">
        <f>_xlfn.XLOOKUP(C733,customers!$A732:$A1732,customers!$B732:$B1732,,0)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5">
        <f>INDEX(products!$A$1:$G$49,MATCH(orders!$D733,products!$A$1:$A$49,0),MATCH(orders!K$1,products!$A$1:$G$1,0))</f>
        <v>0.2</v>
      </c>
      <c r="L733" s="7">
        <f>INDEX(products!$A$1:$G$49,MATCH(orders!$D733,products!$A$1:$A$49,0),MATCH(orders!L$1,products!$A$1:$G$1,0))</f>
        <v>3.8849999999999998</v>
      </c>
      <c r="M733" s="7">
        <f t="shared" si="33"/>
        <v>15.54</v>
      </c>
      <c r="N733" t="str">
        <f t="shared" si="34"/>
        <v>Liberica</v>
      </c>
      <c r="O733" t="str">
        <f t="shared" si="35"/>
        <v>Dark</v>
      </c>
      <c r="P733" t="str">
        <f>_xlfn.XLOOKUP(Table1[[#This Row],[Customer ID]],customers!$A$1:$A$1001,customers!$I$1:$I$1001,,0)</f>
        <v>Yes</v>
      </c>
    </row>
    <row r="734" spans="1:16" x14ac:dyDescent="0.2">
      <c r="A734" s="2" t="s">
        <v>4625</v>
      </c>
      <c r="B734" s="3">
        <v>44312</v>
      </c>
      <c r="C734" s="2" t="s">
        <v>4626</v>
      </c>
      <c r="D734" t="s">
        <v>6184</v>
      </c>
      <c r="E734" s="2">
        <v>2</v>
      </c>
      <c r="F734" s="2" t="str">
        <f>_xlfn.XLOOKUP(C734,customers!$A733:$A1733,customers!$B733:$B1733,,0)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5">
        <f>INDEX(products!$A$1:$G$49,MATCH(orders!$D734,products!$A$1:$A$49,0),MATCH(orders!K$1,products!$A$1:$G$1,0))</f>
        <v>0.2</v>
      </c>
      <c r="L734" s="7">
        <f>INDEX(products!$A$1:$G$49,MATCH(orders!$D734,products!$A$1:$A$49,0),MATCH(orders!L$1,products!$A$1:$G$1,0))</f>
        <v>4.4550000000000001</v>
      </c>
      <c r="M734" s="7">
        <f t="shared" si="33"/>
        <v>8.91</v>
      </c>
      <c r="N734" t="str">
        <f t="shared" si="34"/>
        <v>Excelsa</v>
      </c>
      <c r="O734" t="str">
        <f t="shared" si="35"/>
        <v>Light</v>
      </c>
      <c r="P734" t="str">
        <f>_xlfn.XLOOKUP(Table1[[#This Row],[Customer ID]],customers!$A$1:$A$1001,customers!$I$1:$I$1001,,0)</f>
        <v>No</v>
      </c>
    </row>
    <row r="735" spans="1:16" x14ac:dyDescent="0.2">
      <c r="A735" s="2" t="s">
        <v>4631</v>
      </c>
      <c r="B735" s="3">
        <v>44565</v>
      </c>
      <c r="C735" s="2" t="s">
        <v>4632</v>
      </c>
      <c r="D735" t="s">
        <v>6181</v>
      </c>
      <c r="E735" s="2">
        <v>3</v>
      </c>
      <c r="F735" s="2" t="str">
        <f>_xlfn.XLOOKUP(C735,customers!$A734:$A1734,customers!$B734:$B1734,,0)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5">
        <f>INDEX(products!$A$1:$G$49,MATCH(orders!$D735,products!$A$1:$A$49,0),MATCH(orders!K$1,products!$A$1:$G$1,0))</f>
        <v>2.5</v>
      </c>
      <c r="L735" s="7">
        <f>INDEX(products!$A$1:$G$49,MATCH(orders!$D735,products!$A$1:$A$49,0),MATCH(orders!L$1,products!$A$1:$G$1,0))</f>
        <v>33.464999999999996</v>
      </c>
      <c r="M735" s="7">
        <f t="shared" si="33"/>
        <v>100.39499999999998</v>
      </c>
      <c r="N735" t="str">
        <f t="shared" si="34"/>
        <v>Liberica</v>
      </c>
      <c r="O735" t="str">
        <f t="shared" si="35"/>
        <v>Medium</v>
      </c>
      <c r="P735" t="str">
        <f>_xlfn.XLOOKUP(Table1[[#This Row],[Customer ID]],customers!$A$1:$A$1001,customers!$I$1:$I$1001,,0)</f>
        <v>Yes</v>
      </c>
    </row>
    <row r="736" spans="1:16" x14ac:dyDescent="0.2">
      <c r="A736" s="2" t="s">
        <v>4637</v>
      </c>
      <c r="B736" s="3">
        <v>43697</v>
      </c>
      <c r="C736" s="2" t="s">
        <v>4638</v>
      </c>
      <c r="D736" t="s">
        <v>6163</v>
      </c>
      <c r="E736" s="2">
        <v>5</v>
      </c>
      <c r="F736" s="2" t="str">
        <f>_xlfn.XLOOKUP(C736,customers!$A735:$A1735,customers!$B735:$B1735,,0)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5">
        <f>INDEX(products!$A$1:$G$49,MATCH(orders!$D736,products!$A$1:$A$49,0),MATCH(orders!K$1,products!$A$1:$G$1,0))</f>
        <v>0.2</v>
      </c>
      <c r="L736" s="7">
        <f>INDEX(products!$A$1:$G$49,MATCH(orders!$D736,products!$A$1:$A$49,0),MATCH(orders!L$1,products!$A$1:$G$1,0))</f>
        <v>2.6849999999999996</v>
      </c>
      <c r="M736" s="7">
        <f t="shared" si="33"/>
        <v>13.424999999999997</v>
      </c>
      <c r="N736" t="str">
        <f t="shared" si="34"/>
        <v>Robusta</v>
      </c>
      <c r="O736" t="str">
        <f t="shared" si="35"/>
        <v>Dark</v>
      </c>
      <c r="P736" t="str">
        <f>_xlfn.XLOOKUP(Table1[[#This Row],[Customer ID]],customers!$A$1:$A$1001,customers!$I$1:$I$1001,,0)</f>
        <v>No</v>
      </c>
    </row>
    <row r="737" spans="1:16" x14ac:dyDescent="0.2">
      <c r="A737" s="2" t="s">
        <v>4642</v>
      </c>
      <c r="B737" s="3">
        <v>44757</v>
      </c>
      <c r="C737" s="2" t="s">
        <v>4643</v>
      </c>
      <c r="D737" t="s">
        <v>6153</v>
      </c>
      <c r="E737" s="2">
        <v>6</v>
      </c>
      <c r="F737" s="2" t="str">
        <f>_xlfn.XLOOKUP(C737,customers!$A736:$A1736,customers!$B736:$B1736,,0)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5">
        <f>INDEX(products!$A$1:$G$49,MATCH(orders!$D737,products!$A$1:$A$49,0),MATCH(orders!K$1,products!$A$1:$G$1,0))</f>
        <v>0.2</v>
      </c>
      <c r="L737" s="7">
        <f>INDEX(products!$A$1:$G$49,MATCH(orders!$D737,products!$A$1:$A$49,0),MATCH(orders!L$1,products!$A$1:$G$1,0))</f>
        <v>3.645</v>
      </c>
      <c r="M737" s="7">
        <f t="shared" si="33"/>
        <v>21.87</v>
      </c>
      <c r="N737" t="str">
        <f t="shared" si="34"/>
        <v>Excelsa</v>
      </c>
      <c r="O737" t="str">
        <f t="shared" si="35"/>
        <v>Dark</v>
      </c>
      <c r="P737" t="str">
        <f>_xlfn.XLOOKUP(Table1[[#This Row],[Customer ID]],customers!$A$1:$A$1001,customers!$I$1:$I$1001,,0)</f>
        <v>No</v>
      </c>
    </row>
    <row r="738" spans="1:16" x14ac:dyDescent="0.2">
      <c r="A738" s="2" t="s">
        <v>4647</v>
      </c>
      <c r="B738" s="3">
        <v>43508</v>
      </c>
      <c r="C738" s="2" t="s">
        <v>4648</v>
      </c>
      <c r="D738" t="s">
        <v>6143</v>
      </c>
      <c r="E738" s="2">
        <v>2</v>
      </c>
      <c r="F738" s="2" t="str">
        <f>_xlfn.XLOOKUP(C738,customers!$A737:$A1737,customers!$B737:$B1737,,0)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5">
        <f>INDEX(products!$A$1:$G$49,MATCH(orders!$D738,products!$A$1:$A$49,0),MATCH(orders!K$1,products!$A$1:$G$1,0))</f>
        <v>1</v>
      </c>
      <c r="L738" s="7">
        <f>INDEX(products!$A$1:$G$49,MATCH(orders!$D738,products!$A$1:$A$49,0),MATCH(orders!L$1,products!$A$1:$G$1,0))</f>
        <v>12.95</v>
      </c>
      <c r="M738" s="7">
        <f t="shared" si="33"/>
        <v>25.9</v>
      </c>
      <c r="N738" t="str">
        <f t="shared" si="34"/>
        <v>Liberica</v>
      </c>
      <c r="O738" t="str">
        <f t="shared" si="35"/>
        <v>Dark</v>
      </c>
      <c r="P738" t="str">
        <f>_xlfn.XLOOKUP(Table1[[#This Row],[Customer ID]],customers!$A$1:$A$1001,customers!$I$1:$I$1001,,0)</f>
        <v>Yes</v>
      </c>
    </row>
    <row r="739" spans="1:16" x14ac:dyDescent="0.2">
      <c r="A739" s="2" t="s">
        <v>4653</v>
      </c>
      <c r="B739" s="3">
        <v>44447</v>
      </c>
      <c r="C739" s="2" t="s">
        <v>4654</v>
      </c>
      <c r="D739" t="s">
        <v>6155</v>
      </c>
      <c r="E739" s="2">
        <v>5</v>
      </c>
      <c r="F739" s="2" t="str">
        <f>_xlfn.XLOOKUP(C739,customers!$A738:$A1738,customers!$B738:$B1738,,0)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5">
        <f>INDEX(products!$A$1:$G$49,MATCH(orders!$D739,products!$A$1:$A$49,0),MATCH(orders!K$1,products!$A$1:$G$1,0))</f>
        <v>1</v>
      </c>
      <c r="L739" s="7">
        <f>INDEX(products!$A$1:$G$49,MATCH(orders!$D739,products!$A$1:$A$49,0),MATCH(orders!L$1,products!$A$1:$G$1,0))</f>
        <v>11.25</v>
      </c>
      <c r="M739" s="7">
        <f t="shared" si="33"/>
        <v>56.25</v>
      </c>
      <c r="N739" t="str">
        <f t="shared" si="34"/>
        <v>Arabica</v>
      </c>
      <c r="O739" t="str">
        <f t="shared" si="35"/>
        <v>Medium</v>
      </c>
      <c r="P739" t="str">
        <f>_xlfn.XLOOKUP(Table1[[#This Row],[Customer ID]],customers!$A$1:$A$1001,customers!$I$1:$I$1001,,0)</f>
        <v>No</v>
      </c>
    </row>
    <row r="740" spans="1:16" x14ac:dyDescent="0.2">
      <c r="A740" s="2" t="s">
        <v>4659</v>
      </c>
      <c r="B740" s="3">
        <v>43812</v>
      </c>
      <c r="C740" s="2" t="s">
        <v>4660</v>
      </c>
      <c r="D740" t="s">
        <v>6178</v>
      </c>
      <c r="E740" s="2">
        <v>3</v>
      </c>
      <c r="F740" s="2" t="str">
        <f>_xlfn.XLOOKUP(C740,customers!$A739:$A1739,customers!$B739:$B1739,,0)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5">
        <f>INDEX(products!$A$1:$G$49,MATCH(orders!$D740,products!$A$1:$A$49,0),MATCH(orders!K$1,products!$A$1:$G$1,0))</f>
        <v>0.2</v>
      </c>
      <c r="L740" s="7">
        <f>INDEX(products!$A$1:$G$49,MATCH(orders!$D740,products!$A$1:$A$49,0),MATCH(orders!L$1,products!$A$1:$G$1,0))</f>
        <v>3.5849999999999995</v>
      </c>
      <c r="M740" s="7">
        <f t="shared" si="33"/>
        <v>10.754999999999999</v>
      </c>
      <c r="N740" t="str">
        <f t="shared" si="34"/>
        <v>Robusta</v>
      </c>
      <c r="O740" t="str">
        <f t="shared" si="35"/>
        <v>Light</v>
      </c>
      <c r="P740" t="str">
        <f>_xlfn.XLOOKUP(Table1[[#This Row],[Customer ID]],customers!$A$1:$A$1001,customers!$I$1:$I$1001,,0)</f>
        <v>No</v>
      </c>
    </row>
    <row r="741" spans="1:16" x14ac:dyDescent="0.2">
      <c r="A741" s="2" t="s">
        <v>4665</v>
      </c>
      <c r="B741" s="3">
        <v>44433</v>
      </c>
      <c r="C741" s="2" t="s">
        <v>4434</v>
      </c>
      <c r="D741" t="s">
        <v>6153</v>
      </c>
      <c r="E741" s="2">
        <v>5</v>
      </c>
      <c r="F741" s="2" t="e">
        <f>_xlfn.XLOOKUP(C741,customers!$A740:$A1740,customers!$B740:$B1740,,0)</f>
        <v>#N/A</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5">
        <f>INDEX(products!$A$1:$G$49,MATCH(orders!$D741,products!$A$1:$A$49,0),MATCH(orders!K$1,products!$A$1:$G$1,0))</f>
        <v>0.2</v>
      </c>
      <c r="L741" s="7">
        <f>INDEX(products!$A$1:$G$49,MATCH(orders!$D741,products!$A$1:$A$49,0),MATCH(orders!L$1,products!$A$1:$G$1,0))</f>
        <v>3.645</v>
      </c>
      <c r="M741" s="7">
        <f t="shared" si="33"/>
        <v>18.225000000000001</v>
      </c>
      <c r="N741" t="str">
        <f t="shared" si="34"/>
        <v>Excelsa</v>
      </c>
      <c r="O741" t="str">
        <f t="shared" si="35"/>
        <v>Dark</v>
      </c>
      <c r="P741" t="str">
        <f>_xlfn.XLOOKUP(Table1[[#This Row],[Customer ID]],customers!$A$1:$A$1001,customers!$I$1:$I$1001,,0)</f>
        <v>No</v>
      </c>
    </row>
    <row r="742" spans="1:16" x14ac:dyDescent="0.2">
      <c r="A742" s="2" t="s">
        <v>4670</v>
      </c>
      <c r="B742" s="3">
        <v>44643</v>
      </c>
      <c r="C742" s="2" t="s">
        <v>4671</v>
      </c>
      <c r="D742" t="s">
        <v>6173</v>
      </c>
      <c r="E742" s="2">
        <v>4</v>
      </c>
      <c r="F742" s="2" t="str">
        <f>_xlfn.XLOOKUP(C742,customers!$A741:$A1741,customers!$B741:$B1741,,0)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5">
        <f>INDEX(products!$A$1:$G$49,MATCH(orders!$D742,products!$A$1:$A$49,0),MATCH(orders!K$1,products!$A$1:$G$1,0))</f>
        <v>0.5</v>
      </c>
      <c r="L742" s="7">
        <f>INDEX(products!$A$1:$G$49,MATCH(orders!$D742,products!$A$1:$A$49,0),MATCH(orders!L$1,products!$A$1:$G$1,0))</f>
        <v>7.169999999999999</v>
      </c>
      <c r="M742" s="7">
        <f t="shared" si="33"/>
        <v>28.679999999999996</v>
      </c>
      <c r="N742" t="str">
        <f t="shared" si="34"/>
        <v>Robusta</v>
      </c>
      <c r="O742" t="str">
        <f t="shared" si="35"/>
        <v>Light</v>
      </c>
      <c r="P742" t="str">
        <f>_xlfn.XLOOKUP(Table1[[#This Row],[Customer ID]],customers!$A$1:$A$1001,customers!$I$1:$I$1001,,0)</f>
        <v>No</v>
      </c>
    </row>
    <row r="743" spans="1:16" x14ac:dyDescent="0.2">
      <c r="A743" s="2" t="s">
        <v>4676</v>
      </c>
      <c r="B743" s="3">
        <v>43566</v>
      </c>
      <c r="C743" s="2" t="s">
        <v>4677</v>
      </c>
      <c r="D743" t="s">
        <v>6159</v>
      </c>
      <c r="E743" s="2">
        <v>2</v>
      </c>
      <c r="F743" s="2" t="str">
        <f>_xlfn.XLOOKUP(C743,customers!$A742:$A1742,customers!$B742:$B1742,,0)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5">
        <f>INDEX(products!$A$1:$G$49,MATCH(orders!$D743,products!$A$1:$A$49,0),MATCH(orders!K$1,products!$A$1:$G$1,0))</f>
        <v>0.2</v>
      </c>
      <c r="L743" s="7">
        <f>INDEX(products!$A$1:$G$49,MATCH(orders!$D743,products!$A$1:$A$49,0),MATCH(orders!L$1,products!$A$1:$G$1,0))</f>
        <v>4.3650000000000002</v>
      </c>
      <c r="M743" s="7">
        <f t="shared" si="33"/>
        <v>8.73</v>
      </c>
      <c r="N743" t="str">
        <f t="shared" si="34"/>
        <v>Liberica</v>
      </c>
      <c r="O743" t="str">
        <f t="shared" si="35"/>
        <v>Medium</v>
      </c>
      <c r="P743" t="str">
        <f>_xlfn.XLOOKUP(Table1[[#This Row],[Customer ID]],customers!$A$1:$A$1001,customers!$I$1:$I$1001,,0)</f>
        <v>No</v>
      </c>
    </row>
    <row r="744" spans="1:16" x14ac:dyDescent="0.2">
      <c r="A744" s="2" t="s">
        <v>4682</v>
      </c>
      <c r="B744" s="3">
        <v>44133</v>
      </c>
      <c r="C744" s="2" t="s">
        <v>4683</v>
      </c>
      <c r="D744" t="s">
        <v>6162</v>
      </c>
      <c r="E744" s="2">
        <v>4</v>
      </c>
      <c r="F744" s="2" t="str">
        <f>_xlfn.XLOOKUP(C744,customers!$A743:$A1743,customers!$B743:$B1743,,0)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5">
        <f>INDEX(products!$A$1:$G$49,MATCH(orders!$D744,products!$A$1:$A$49,0),MATCH(orders!K$1,products!$A$1:$G$1,0))</f>
        <v>1</v>
      </c>
      <c r="L744" s="7">
        <f>INDEX(products!$A$1:$G$49,MATCH(orders!$D744,products!$A$1:$A$49,0),MATCH(orders!L$1,products!$A$1:$G$1,0))</f>
        <v>14.55</v>
      </c>
      <c r="M744" s="7">
        <f t="shared" si="33"/>
        <v>58.2</v>
      </c>
      <c r="N744" t="str">
        <f t="shared" si="34"/>
        <v>Liberica</v>
      </c>
      <c r="O744" t="str">
        <f t="shared" si="35"/>
        <v>Medium</v>
      </c>
      <c r="P744" t="str">
        <f>_xlfn.XLOOKUP(Table1[[#This Row],[Customer ID]],customers!$A$1:$A$1001,customers!$I$1:$I$1001,,0)</f>
        <v>No</v>
      </c>
    </row>
    <row r="745" spans="1:16" x14ac:dyDescent="0.2">
      <c r="A745" s="2" t="s">
        <v>4688</v>
      </c>
      <c r="B745" s="3">
        <v>44042</v>
      </c>
      <c r="C745" s="2" t="s">
        <v>4689</v>
      </c>
      <c r="D745" t="s">
        <v>6158</v>
      </c>
      <c r="E745" s="2">
        <v>3</v>
      </c>
      <c r="F745" s="2" t="str">
        <f>_xlfn.XLOOKUP(C745,customers!$A744:$A1744,customers!$B744:$B1744,,0)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5">
        <f>INDEX(products!$A$1:$G$49,MATCH(orders!$D745,products!$A$1:$A$49,0),MATCH(orders!K$1,products!$A$1:$G$1,0))</f>
        <v>0.5</v>
      </c>
      <c r="L745" s="7">
        <f>INDEX(products!$A$1:$G$49,MATCH(orders!$D745,products!$A$1:$A$49,0),MATCH(orders!L$1,products!$A$1:$G$1,0))</f>
        <v>5.97</v>
      </c>
      <c r="M745" s="7">
        <f t="shared" si="33"/>
        <v>17.91</v>
      </c>
      <c r="N745" t="str">
        <f t="shared" si="34"/>
        <v>Arabica</v>
      </c>
      <c r="O745" t="str">
        <f t="shared" si="35"/>
        <v>Dark</v>
      </c>
      <c r="P745" t="str">
        <f>_xlfn.XLOOKUP(Table1[[#This Row],[Customer ID]],customers!$A$1:$A$1001,customers!$I$1:$I$1001,,0)</f>
        <v>No</v>
      </c>
    </row>
    <row r="746" spans="1:16" x14ac:dyDescent="0.2">
      <c r="A746" s="2" t="s">
        <v>4694</v>
      </c>
      <c r="B746" s="3">
        <v>43539</v>
      </c>
      <c r="C746" s="2" t="s">
        <v>4695</v>
      </c>
      <c r="D746" t="s">
        <v>6174</v>
      </c>
      <c r="E746" s="2">
        <v>6</v>
      </c>
      <c r="F746" s="2" t="str">
        <f>_xlfn.XLOOKUP(C746,customers!$A745:$A1745,customers!$B745:$B1745,,0)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5">
        <f>INDEX(products!$A$1:$G$49,MATCH(orders!$D746,products!$A$1:$A$49,0),MATCH(orders!K$1,products!$A$1:$G$1,0))</f>
        <v>0.2</v>
      </c>
      <c r="L746" s="7">
        <f>INDEX(products!$A$1:$G$49,MATCH(orders!$D746,products!$A$1:$A$49,0),MATCH(orders!L$1,products!$A$1:$G$1,0))</f>
        <v>2.9849999999999999</v>
      </c>
      <c r="M746" s="7">
        <f t="shared" si="33"/>
        <v>17.91</v>
      </c>
      <c r="N746" t="str">
        <f t="shared" si="34"/>
        <v>Robusta</v>
      </c>
      <c r="O746" t="str">
        <f t="shared" si="35"/>
        <v>Medium</v>
      </c>
      <c r="P746" t="str">
        <f>_xlfn.XLOOKUP(Table1[[#This Row],[Customer ID]],customers!$A$1:$A$1001,customers!$I$1:$I$1001,,0)</f>
        <v>Yes</v>
      </c>
    </row>
    <row r="747" spans="1:16" x14ac:dyDescent="0.2">
      <c r="A747" s="2" t="s">
        <v>4699</v>
      </c>
      <c r="B747" s="3">
        <v>44557</v>
      </c>
      <c r="C747" s="2" t="s">
        <v>4700</v>
      </c>
      <c r="D747" t="s">
        <v>6144</v>
      </c>
      <c r="E747" s="2">
        <v>2</v>
      </c>
      <c r="F747" s="2" t="str">
        <f>_xlfn.XLOOKUP(C747,customers!$A746:$A1746,customers!$B746:$B1746,,0)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5">
        <f>INDEX(products!$A$1:$G$49,MATCH(orders!$D747,products!$A$1:$A$49,0),MATCH(orders!K$1,products!$A$1:$G$1,0))</f>
        <v>0.5</v>
      </c>
      <c r="L747" s="7">
        <f>INDEX(products!$A$1:$G$49,MATCH(orders!$D747,products!$A$1:$A$49,0),MATCH(orders!L$1,products!$A$1:$G$1,0))</f>
        <v>7.29</v>
      </c>
      <c r="M747" s="7">
        <f t="shared" si="33"/>
        <v>14.58</v>
      </c>
      <c r="N747" t="str">
        <f t="shared" si="34"/>
        <v>Excelsa</v>
      </c>
      <c r="O747" t="str">
        <f t="shared" si="35"/>
        <v>Dark</v>
      </c>
      <c r="P747" t="str">
        <f>_xlfn.XLOOKUP(Table1[[#This Row],[Customer ID]],customers!$A$1:$A$1001,customers!$I$1:$I$1001,,0)</f>
        <v>No</v>
      </c>
    </row>
    <row r="748" spans="1:16" x14ac:dyDescent="0.2">
      <c r="A748" s="2" t="s">
        <v>4705</v>
      </c>
      <c r="B748" s="3">
        <v>43741</v>
      </c>
      <c r="C748" s="2" t="s">
        <v>4706</v>
      </c>
      <c r="D748" t="s">
        <v>6155</v>
      </c>
      <c r="E748" s="2">
        <v>3</v>
      </c>
      <c r="F748" s="2" t="str">
        <f>_xlfn.XLOOKUP(C748,customers!$A747:$A1747,customers!$B747:$B1747,,0)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5">
        <f>INDEX(products!$A$1:$G$49,MATCH(orders!$D748,products!$A$1:$A$49,0),MATCH(orders!K$1,products!$A$1:$G$1,0))</f>
        <v>1</v>
      </c>
      <c r="L748" s="7">
        <f>INDEX(products!$A$1:$G$49,MATCH(orders!$D748,products!$A$1:$A$49,0),MATCH(orders!L$1,products!$A$1:$G$1,0))</f>
        <v>11.25</v>
      </c>
      <c r="M748" s="7">
        <f t="shared" si="33"/>
        <v>33.75</v>
      </c>
      <c r="N748" t="str">
        <f t="shared" si="34"/>
        <v>Arabica</v>
      </c>
      <c r="O748" t="str">
        <f t="shared" si="35"/>
        <v>Medium</v>
      </c>
      <c r="P748" t="str">
        <f>_xlfn.XLOOKUP(Table1[[#This Row],[Customer ID]],customers!$A$1:$A$1001,customers!$I$1:$I$1001,,0)</f>
        <v>No</v>
      </c>
    </row>
    <row r="749" spans="1:16" x14ac:dyDescent="0.2">
      <c r="A749" s="2" t="s">
        <v>4711</v>
      </c>
      <c r="B749" s="3">
        <v>43501</v>
      </c>
      <c r="C749" s="2" t="s">
        <v>4712</v>
      </c>
      <c r="D749" t="s">
        <v>6160</v>
      </c>
      <c r="E749" s="2">
        <v>4</v>
      </c>
      <c r="F749" s="2" t="str">
        <f>_xlfn.XLOOKUP(C749,customers!$A748:$A1748,customers!$B748:$B1748,,0)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5">
        <f>INDEX(products!$A$1:$G$49,MATCH(orders!$D749,products!$A$1:$A$49,0),MATCH(orders!K$1,products!$A$1:$G$1,0))</f>
        <v>0.5</v>
      </c>
      <c r="L749" s="7">
        <f>INDEX(products!$A$1:$G$49,MATCH(orders!$D749,products!$A$1:$A$49,0),MATCH(orders!L$1,products!$A$1:$G$1,0))</f>
        <v>8.73</v>
      </c>
      <c r="M749" s="7">
        <f t="shared" si="33"/>
        <v>34.92</v>
      </c>
      <c r="N749" t="str">
        <f t="shared" si="34"/>
        <v>Liberica</v>
      </c>
      <c r="O749" t="str">
        <f t="shared" si="35"/>
        <v>Medium</v>
      </c>
      <c r="P749" t="str">
        <f>_xlfn.XLOOKUP(Table1[[#This Row],[Customer ID]],customers!$A$1:$A$1001,customers!$I$1:$I$1001,,0)</f>
        <v>Yes</v>
      </c>
    </row>
    <row r="750" spans="1:16" x14ac:dyDescent="0.2">
      <c r="A750" s="2" t="s">
        <v>4717</v>
      </c>
      <c r="B750" s="3">
        <v>44074</v>
      </c>
      <c r="C750" s="2" t="s">
        <v>4718</v>
      </c>
      <c r="D750" t="s">
        <v>6144</v>
      </c>
      <c r="E750" s="2">
        <v>2</v>
      </c>
      <c r="F750" s="2" t="str">
        <f>_xlfn.XLOOKUP(C750,customers!$A749:$A1749,customers!$B749:$B1749,,0)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5">
        <f>INDEX(products!$A$1:$G$49,MATCH(orders!$D750,products!$A$1:$A$49,0),MATCH(orders!K$1,products!$A$1:$G$1,0))</f>
        <v>0.5</v>
      </c>
      <c r="L750" s="7">
        <f>INDEX(products!$A$1:$G$49,MATCH(orders!$D750,products!$A$1:$A$49,0),MATCH(orders!L$1,products!$A$1:$G$1,0))</f>
        <v>7.29</v>
      </c>
      <c r="M750" s="7">
        <f t="shared" si="33"/>
        <v>14.58</v>
      </c>
      <c r="N750" t="str">
        <f t="shared" si="34"/>
        <v>Excelsa</v>
      </c>
      <c r="O750" t="str">
        <f t="shared" si="35"/>
        <v>Dark</v>
      </c>
      <c r="P750" t="str">
        <f>_xlfn.XLOOKUP(Table1[[#This Row],[Customer ID]],customers!$A$1:$A$1001,customers!$I$1:$I$1001,,0)</f>
        <v>No</v>
      </c>
    </row>
    <row r="751" spans="1:16" x14ac:dyDescent="0.2">
      <c r="A751" s="2" t="s">
        <v>4723</v>
      </c>
      <c r="B751" s="3">
        <v>44209</v>
      </c>
      <c r="C751" s="2" t="s">
        <v>4724</v>
      </c>
      <c r="D751" t="s">
        <v>6163</v>
      </c>
      <c r="E751" s="2">
        <v>2</v>
      </c>
      <c r="F751" s="2" t="str">
        <f>_xlfn.XLOOKUP(C751,customers!$A750:$A1750,customers!$B750:$B1750,,0)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5">
        <f>INDEX(products!$A$1:$G$49,MATCH(orders!$D751,products!$A$1:$A$49,0),MATCH(orders!K$1,products!$A$1:$G$1,0))</f>
        <v>0.2</v>
      </c>
      <c r="L751" s="7">
        <f>INDEX(products!$A$1:$G$49,MATCH(orders!$D751,products!$A$1:$A$49,0),MATCH(orders!L$1,products!$A$1:$G$1,0))</f>
        <v>2.6849999999999996</v>
      </c>
      <c r="M751" s="7">
        <f t="shared" si="33"/>
        <v>5.3699999999999992</v>
      </c>
      <c r="N751" t="str">
        <f t="shared" si="34"/>
        <v>Robusta</v>
      </c>
      <c r="O751" t="str">
        <f t="shared" si="35"/>
        <v>Dark</v>
      </c>
      <c r="P751" t="str">
        <f>_xlfn.XLOOKUP(Table1[[#This Row],[Customer ID]],customers!$A$1:$A$1001,customers!$I$1:$I$1001,,0)</f>
        <v>Yes</v>
      </c>
    </row>
    <row r="752" spans="1:16" x14ac:dyDescent="0.2">
      <c r="A752" s="2" t="s">
        <v>4730</v>
      </c>
      <c r="B752" s="3">
        <v>44277</v>
      </c>
      <c r="C752" s="2" t="s">
        <v>4731</v>
      </c>
      <c r="D752" t="s">
        <v>6146</v>
      </c>
      <c r="E752" s="2">
        <v>1</v>
      </c>
      <c r="F752" s="2" t="str">
        <f>_xlfn.XLOOKUP(C752,customers!$A751:$A1751,customers!$B751:$B1751,,0)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5">
        <f>INDEX(products!$A$1:$G$49,MATCH(orders!$D752,products!$A$1:$A$49,0),MATCH(orders!K$1,products!$A$1:$G$1,0))</f>
        <v>0.5</v>
      </c>
      <c r="L752" s="7">
        <f>INDEX(products!$A$1:$G$49,MATCH(orders!$D752,products!$A$1:$A$49,0),MATCH(orders!L$1,products!$A$1:$G$1,0))</f>
        <v>5.97</v>
      </c>
      <c r="M752" s="7">
        <f t="shared" si="33"/>
        <v>5.97</v>
      </c>
      <c r="N752" t="str">
        <f t="shared" si="34"/>
        <v>Robusta</v>
      </c>
      <c r="O752" t="str">
        <f t="shared" si="35"/>
        <v>Medium</v>
      </c>
      <c r="P752" t="str">
        <f>_xlfn.XLOOKUP(Table1[[#This Row],[Customer ID]],customers!$A$1:$A$1001,customers!$I$1:$I$1001,,0)</f>
        <v>Yes</v>
      </c>
    </row>
    <row r="753" spans="1:16" x14ac:dyDescent="0.2">
      <c r="A753" s="2" t="s">
        <v>4735</v>
      </c>
      <c r="B753" s="3">
        <v>43847</v>
      </c>
      <c r="C753" s="2" t="s">
        <v>4736</v>
      </c>
      <c r="D753" t="s">
        <v>6161</v>
      </c>
      <c r="E753" s="2">
        <v>2</v>
      </c>
      <c r="F753" s="2" t="str">
        <f>_xlfn.XLOOKUP(C753,customers!$A752:$A1752,customers!$B752:$B1752,,0)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5">
        <f>INDEX(products!$A$1:$G$49,MATCH(orders!$D753,products!$A$1:$A$49,0),MATCH(orders!K$1,products!$A$1:$G$1,0))</f>
        <v>0.5</v>
      </c>
      <c r="L753" s="7">
        <f>INDEX(products!$A$1:$G$49,MATCH(orders!$D753,products!$A$1:$A$49,0),MATCH(orders!L$1,products!$A$1:$G$1,0))</f>
        <v>9.51</v>
      </c>
      <c r="M753" s="7">
        <f t="shared" si="33"/>
        <v>19.02</v>
      </c>
      <c r="N753" t="str">
        <f t="shared" si="34"/>
        <v>Liberica</v>
      </c>
      <c r="O753" t="str">
        <f t="shared" si="35"/>
        <v>Light</v>
      </c>
      <c r="P753" t="str">
        <f>_xlfn.XLOOKUP(Table1[[#This Row],[Customer ID]],customers!$A$1:$A$1001,customers!$I$1:$I$1001,,0)</f>
        <v>No</v>
      </c>
    </row>
    <row r="754" spans="1:16" x14ac:dyDescent="0.2">
      <c r="A754" s="2" t="s">
        <v>4741</v>
      </c>
      <c r="B754" s="3">
        <v>43648</v>
      </c>
      <c r="C754" s="2" t="s">
        <v>4742</v>
      </c>
      <c r="D754" t="s">
        <v>6141</v>
      </c>
      <c r="E754" s="2">
        <v>2</v>
      </c>
      <c r="F754" s="2" t="str">
        <f>_xlfn.XLOOKUP(C754,customers!$A753:$A1753,customers!$B753:$B1753,,0)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5">
        <f>INDEX(products!$A$1:$G$49,MATCH(orders!$D754,products!$A$1:$A$49,0),MATCH(orders!K$1,products!$A$1:$G$1,0))</f>
        <v>1</v>
      </c>
      <c r="L754" s="7">
        <f>INDEX(products!$A$1:$G$49,MATCH(orders!$D754,products!$A$1:$A$49,0),MATCH(orders!L$1,products!$A$1:$G$1,0))</f>
        <v>13.75</v>
      </c>
      <c r="M754" s="7">
        <f t="shared" si="33"/>
        <v>27.5</v>
      </c>
      <c r="N754" t="str">
        <f t="shared" si="34"/>
        <v>Excelsa</v>
      </c>
      <c r="O754" t="str">
        <f t="shared" si="35"/>
        <v>Medium</v>
      </c>
      <c r="P754" t="str">
        <f>_xlfn.XLOOKUP(Table1[[#This Row],[Customer ID]],customers!$A$1:$A$1001,customers!$I$1:$I$1001,,0)</f>
        <v>Yes</v>
      </c>
    </row>
    <row r="755" spans="1:16" x14ac:dyDescent="0.2">
      <c r="A755" s="2" t="s">
        <v>4747</v>
      </c>
      <c r="B755" s="3">
        <v>44704</v>
      </c>
      <c r="C755" s="2" t="s">
        <v>4748</v>
      </c>
      <c r="D755" t="s">
        <v>6158</v>
      </c>
      <c r="E755" s="2">
        <v>5</v>
      </c>
      <c r="F755" s="2" t="str">
        <f>_xlfn.XLOOKUP(C755,customers!$A754:$A1754,customers!$B754:$B1754,,0)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5">
        <f>INDEX(products!$A$1:$G$49,MATCH(orders!$D755,products!$A$1:$A$49,0),MATCH(orders!K$1,products!$A$1:$G$1,0))</f>
        <v>0.5</v>
      </c>
      <c r="L755" s="7">
        <f>INDEX(products!$A$1:$G$49,MATCH(orders!$D755,products!$A$1:$A$49,0),MATCH(orders!L$1,products!$A$1:$G$1,0))</f>
        <v>5.97</v>
      </c>
      <c r="M755" s="7">
        <f t="shared" si="33"/>
        <v>29.849999999999998</v>
      </c>
      <c r="N755" t="str">
        <f t="shared" si="34"/>
        <v>Arabica</v>
      </c>
      <c r="O755" t="str">
        <f t="shared" si="35"/>
        <v>Dark</v>
      </c>
      <c r="P755" t="str">
        <f>_xlfn.XLOOKUP(Table1[[#This Row],[Customer ID]],customers!$A$1:$A$1001,customers!$I$1:$I$1001,,0)</f>
        <v>No</v>
      </c>
    </row>
    <row r="756" spans="1:16" x14ac:dyDescent="0.2">
      <c r="A756" s="2" t="s">
        <v>4753</v>
      </c>
      <c r="B756" s="3">
        <v>44726</v>
      </c>
      <c r="C756" s="2" t="s">
        <v>4434</v>
      </c>
      <c r="D756" t="s">
        <v>6154</v>
      </c>
      <c r="E756" s="2">
        <v>6</v>
      </c>
      <c r="F756" s="2" t="e">
        <f>_xlfn.XLOOKUP(C756,customers!$A755:$A1755,customers!$B755:$B1755,,0)</f>
        <v>#N/A</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5">
        <f>INDEX(products!$A$1:$G$49,MATCH(orders!$D756,products!$A$1:$A$49,0),MATCH(orders!K$1,products!$A$1:$G$1,0))</f>
        <v>0.2</v>
      </c>
      <c r="L756" s="7">
        <f>INDEX(products!$A$1:$G$49,MATCH(orders!$D756,products!$A$1:$A$49,0),MATCH(orders!L$1,products!$A$1:$G$1,0))</f>
        <v>2.9849999999999999</v>
      </c>
      <c r="M756" s="7">
        <f t="shared" si="33"/>
        <v>17.91</v>
      </c>
      <c r="N756" t="str">
        <f t="shared" si="34"/>
        <v>Arabica</v>
      </c>
      <c r="O756" t="str">
        <f t="shared" si="35"/>
        <v>Dark</v>
      </c>
      <c r="P756" t="str">
        <f>_xlfn.XLOOKUP(Table1[[#This Row],[Customer ID]],customers!$A$1:$A$1001,customers!$I$1:$I$1001,,0)</f>
        <v>No</v>
      </c>
    </row>
    <row r="757" spans="1:16" x14ac:dyDescent="0.2">
      <c r="A757" s="2" t="s">
        <v>4758</v>
      </c>
      <c r="B757" s="3">
        <v>44397</v>
      </c>
      <c r="C757" s="2" t="s">
        <v>4759</v>
      </c>
      <c r="D757" t="s">
        <v>6145</v>
      </c>
      <c r="E757" s="2">
        <v>6</v>
      </c>
      <c r="F757" s="2" t="str">
        <f>_xlfn.XLOOKUP(C757,customers!$A756:$A1756,customers!$B756:$B1756,,0)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5">
        <f>INDEX(products!$A$1:$G$49,MATCH(orders!$D757,products!$A$1:$A$49,0),MATCH(orders!K$1,products!$A$1:$G$1,0))</f>
        <v>0.2</v>
      </c>
      <c r="L757" s="7">
        <f>INDEX(products!$A$1:$G$49,MATCH(orders!$D757,products!$A$1:$A$49,0),MATCH(orders!L$1,products!$A$1:$G$1,0))</f>
        <v>4.7549999999999999</v>
      </c>
      <c r="M757" s="7">
        <f t="shared" si="33"/>
        <v>28.53</v>
      </c>
      <c r="N757" t="str">
        <f t="shared" si="34"/>
        <v>Liberica</v>
      </c>
      <c r="O757" t="str">
        <f t="shared" si="35"/>
        <v>Light</v>
      </c>
      <c r="P757" t="str">
        <f>_xlfn.XLOOKUP(Table1[[#This Row],[Customer ID]],customers!$A$1:$A$1001,customers!$I$1:$I$1001,,0)</f>
        <v>No</v>
      </c>
    </row>
    <row r="758" spans="1:16" x14ac:dyDescent="0.2">
      <c r="A758" s="2" t="s">
        <v>4764</v>
      </c>
      <c r="B758" s="3">
        <v>44715</v>
      </c>
      <c r="C758" s="2" t="s">
        <v>4765</v>
      </c>
      <c r="D758" t="s">
        <v>6177</v>
      </c>
      <c r="E758" s="2">
        <v>4</v>
      </c>
      <c r="F758" s="2" t="str">
        <f>_xlfn.XLOOKUP(C758,customers!$A757:$A1757,customers!$B757:$B1757,,0)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5">
        <f>INDEX(products!$A$1:$G$49,MATCH(orders!$D758,products!$A$1:$A$49,0),MATCH(orders!K$1,products!$A$1:$G$1,0))</f>
        <v>1</v>
      </c>
      <c r="L758" s="7">
        <f>INDEX(products!$A$1:$G$49,MATCH(orders!$D758,products!$A$1:$A$49,0),MATCH(orders!L$1,products!$A$1:$G$1,0))</f>
        <v>8.9499999999999993</v>
      </c>
      <c r="M758" s="7">
        <f t="shared" si="33"/>
        <v>35.799999999999997</v>
      </c>
      <c r="N758" t="str">
        <f t="shared" si="34"/>
        <v>Robusta</v>
      </c>
      <c r="O758" t="str">
        <f t="shared" si="35"/>
        <v>Dark</v>
      </c>
      <c r="P758" t="str">
        <f>_xlfn.XLOOKUP(Table1[[#This Row],[Customer ID]],customers!$A$1:$A$1001,customers!$I$1:$I$1001,,0)</f>
        <v>Yes</v>
      </c>
    </row>
    <row r="759" spans="1:16" x14ac:dyDescent="0.2">
      <c r="A759" s="2" t="s">
        <v>4770</v>
      </c>
      <c r="B759" s="3">
        <v>43977</v>
      </c>
      <c r="C759" s="2" t="s">
        <v>4771</v>
      </c>
      <c r="D759" t="s">
        <v>6158</v>
      </c>
      <c r="E759" s="2">
        <v>3</v>
      </c>
      <c r="F759" s="2" t="str">
        <f>_xlfn.XLOOKUP(C759,customers!$A758:$A1758,customers!$B758:$B1758,,0)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5">
        <f>INDEX(products!$A$1:$G$49,MATCH(orders!$D759,products!$A$1:$A$49,0),MATCH(orders!K$1,products!$A$1:$G$1,0))</f>
        <v>0.5</v>
      </c>
      <c r="L759" s="7">
        <f>INDEX(products!$A$1:$G$49,MATCH(orders!$D759,products!$A$1:$A$49,0),MATCH(orders!L$1,products!$A$1:$G$1,0))</f>
        <v>5.97</v>
      </c>
      <c r="M759" s="7">
        <f t="shared" si="33"/>
        <v>17.91</v>
      </c>
      <c r="N759" t="str">
        <f t="shared" si="34"/>
        <v>Arabica</v>
      </c>
      <c r="O759" t="str">
        <f t="shared" si="35"/>
        <v>Dark</v>
      </c>
      <c r="P759" t="str">
        <f>_xlfn.XLOOKUP(Table1[[#This Row],[Customer ID]],customers!$A$1:$A$1001,customers!$I$1:$I$1001,,0)</f>
        <v>Yes</v>
      </c>
    </row>
    <row r="760" spans="1:16" x14ac:dyDescent="0.2">
      <c r="A760" s="2" t="s">
        <v>4776</v>
      </c>
      <c r="B760" s="3">
        <v>43672</v>
      </c>
      <c r="C760" s="2" t="s">
        <v>4777</v>
      </c>
      <c r="D760" t="s">
        <v>6177</v>
      </c>
      <c r="E760" s="2">
        <v>1</v>
      </c>
      <c r="F760" s="2" t="str">
        <f>_xlfn.XLOOKUP(C760,customers!$A759:$A1759,customers!$B759:$B1759,,0)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5">
        <f>INDEX(products!$A$1:$G$49,MATCH(orders!$D760,products!$A$1:$A$49,0),MATCH(orders!K$1,products!$A$1:$G$1,0))</f>
        <v>1</v>
      </c>
      <c r="L760" s="7">
        <f>INDEX(products!$A$1:$G$49,MATCH(orders!$D760,products!$A$1:$A$49,0),MATCH(orders!L$1,products!$A$1:$G$1,0))</f>
        <v>8.9499999999999993</v>
      </c>
      <c r="M760" s="7">
        <f t="shared" si="33"/>
        <v>8.9499999999999993</v>
      </c>
      <c r="N760" t="str">
        <f t="shared" si="34"/>
        <v>Robusta</v>
      </c>
      <c r="O760" t="str">
        <f t="shared" si="35"/>
        <v>Dark</v>
      </c>
      <c r="P760" t="str">
        <f>_xlfn.XLOOKUP(Table1[[#This Row],[Customer ID]],customers!$A$1:$A$1001,customers!$I$1:$I$1001,,0)</f>
        <v>No</v>
      </c>
    </row>
    <row r="761" spans="1:16" x14ac:dyDescent="0.2">
      <c r="A761" s="2" t="s">
        <v>4781</v>
      </c>
      <c r="B761" s="3">
        <v>44126</v>
      </c>
      <c r="C761" s="2" t="s">
        <v>4782</v>
      </c>
      <c r="D761" t="s">
        <v>6165</v>
      </c>
      <c r="E761" s="2">
        <v>1</v>
      </c>
      <c r="F761" s="2" t="str">
        <f>_xlfn.XLOOKUP(C761,customers!$A760:$A1760,customers!$B760:$B1760,,0)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5">
        <f>INDEX(products!$A$1:$G$49,MATCH(orders!$D761,products!$A$1:$A$49,0),MATCH(orders!K$1,products!$A$1:$G$1,0))</f>
        <v>2.5</v>
      </c>
      <c r="L761" s="7">
        <f>INDEX(products!$A$1:$G$49,MATCH(orders!$D761,products!$A$1:$A$49,0),MATCH(orders!L$1,products!$A$1:$G$1,0))</f>
        <v>29.784999999999997</v>
      </c>
      <c r="M761" s="7">
        <f t="shared" si="33"/>
        <v>29.784999999999997</v>
      </c>
      <c r="N761" t="str">
        <f t="shared" si="34"/>
        <v>Liberica</v>
      </c>
      <c r="O761" t="str">
        <f t="shared" si="35"/>
        <v>Dark</v>
      </c>
      <c r="P761" t="str">
        <f>_xlfn.XLOOKUP(Table1[[#This Row],[Customer ID]],customers!$A$1:$A$1001,customers!$I$1:$I$1001,,0)</f>
        <v>Yes</v>
      </c>
    </row>
    <row r="762" spans="1:16" x14ac:dyDescent="0.2">
      <c r="A762" s="2" t="s">
        <v>4787</v>
      </c>
      <c r="B762" s="3">
        <v>44189</v>
      </c>
      <c r="C762" s="2" t="s">
        <v>4788</v>
      </c>
      <c r="D762" t="s">
        <v>6176</v>
      </c>
      <c r="E762" s="2">
        <v>5</v>
      </c>
      <c r="F762" s="2" t="str">
        <f>_xlfn.XLOOKUP(C762,customers!$A761:$A1761,customers!$B761:$B1761,,0)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5">
        <f>INDEX(products!$A$1:$G$49,MATCH(orders!$D762,products!$A$1:$A$49,0),MATCH(orders!K$1,products!$A$1:$G$1,0))</f>
        <v>0.5</v>
      </c>
      <c r="L762" s="7">
        <f>INDEX(products!$A$1:$G$49,MATCH(orders!$D762,products!$A$1:$A$49,0),MATCH(orders!L$1,products!$A$1:$G$1,0))</f>
        <v>8.91</v>
      </c>
      <c r="M762" s="7">
        <f t="shared" si="33"/>
        <v>44.55</v>
      </c>
      <c r="N762" t="str">
        <f t="shared" si="34"/>
        <v>Excelsa</v>
      </c>
      <c r="O762" t="str">
        <f t="shared" si="35"/>
        <v>Light</v>
      </c>
      <c r="P762" t="str">
        <f>_xlfn.XLOOKUP(Table1[[#This Row],[Customer ID]],customers!$A$1:$A$1001,customers!$I$1:$I$1001,,0)</f>
        <v>No</v>
      </c>
    </row>
    <row r="763" spans="1:16" x14ac:dyDescent="0.2">
      <c r="A763" s="2" t="s">
        <v>4792</v>
      </c>
      <c r="B763" s="3">
        <v>43714</v>
      </c>
      <c r="C763" s="2" t="s">
        <v>4793</v>
      </c>
      <c r="D763" t="s">
        <v>6171</v>
      </c>
      <c r="E763" s="2">
        <v>6</v>
      </c>
      <c r="F763" s="2" t="str">
        <f>_xlfn.XLOOKUP(C763,customers!$A762:$A1762,customers!$B762:$B1762,,0)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5">
        <f>INDEX(products!$A$1:$G$49,MATCH(orders!$D763,products!$A$1:$A$49,0),MATCH(orders!K$1,products!$A$1:$G$1,0))</f>
        <v>1</v>
      </c>
      <c r="L763" s="7">
        <f>INDEX(products!$A$1:$G$49,MATCH(orders!$D763,products!$A$1:$A$49,0),MATCH(orders!L$1,products!$A$1:$G$1,0))</f>
        <v>14.85</v>
      </c>
      <c r="M763" s="7">
        <f t="shared" si="33"/>
        <v>89.1</v>
      </c>
      <c r="N763" t="str">
        <f t="shared" si="34"/>
        <v>Excelsa</v>
      </c>
      <c r="O763" t="str">
        <f t="shared" si="35"/>
        <v>Light</v>
      </c>
      <c r="P763" t="str">
        <f>_xlfn.XLOOKUP(Table1[[#This Row],[Customer ID]],customers!$A$1:$A$1001,customers!$I$1:$I$1001,,0)</f>
        <v>Yes</v>
      </c>
    </row>
    <row r="764" spans="1:16" x14ac:dyDescent="0.2">
      <c r="A764" s="2" t="s">
        <v>4797</v>
      </c>
      <c r="B764" s="3">
        <v>43563</v>
      </c>
      <c r="C764" s="2" t="s">
        <v>4798</v>
      </c>
      <c r="D764" t="s">
        <v>6160</v>
      </c>
      <c r="E764" s="2">
        <v>5</v>
      </c>
      <c r="F764" s="2" t="str">
        <f>_xlfn.XLOOKUP(C764,customers!$A763:$A1763,customers!$B763:$B1763,,0)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5">
        <f>INDEX(products!$A$1:$G$49,MATCH(orders!$D764,products!$A$1:$A$49,0),MATCH(orders!K$1,products!$A$1:$G$1,0))</f>
        <v>0.5</v>
      </c>
      <c r="L764" s="7">
        <f>INDEX(products!$A$1:$G$49,MATCH(orders!$D764,products!$A$1:$A$49,0),MATCH(orders!L$1,products!$A$1:$G$1,0))</f>
        <v>8.73</v>
      </c>
      <c r="M764" s="7">
        <f t="shared" si="33"/>
        <v>43.650000000000006</v>
      </c>
      <c r="N764" t="str">
        <f t="shared" si="34"/>
        <v>Liberica</v>
      </c>
      <c r="O764" t="str">
        <f t="shared" si="35"/>
        <v>Medium</v>
      </c>
      <c r="P764" t="str">
        <f>_xlfn.XLOOKUP(Table1[[#This Row],[Customer ID]],customers!$A$1:$A$1001,customers!$I$1:$I$1001,,0)</f>
        <v>No</v>
      </c>
    </row>
    <row r="765" spans="1:16" x14ac:dyDescent="0.2">
      <c r="A765" s="2" t="s">
        <v>4803</v>
      </c>
      <c r="B765" s="3">
        <v>44587</v>
      </c>
      <c r="C765" s="2" t="s">
        <v>4804</v>
      </c>
      <c r="D765" t="s">
        <v>6180</v>
      </c>
      <c r="E765" s="2">
        <v>3</v>
      </c>
      <c r="F765" s="2" t="str">
        <f>_xlfn.XLOOKUP(C765,customers!$A764:$A1764,customers!$B764:$B1764,,0)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5">
        <f>INDEX(products!$A$1:$G$49,MATCH(orders!$D765,products!$A$1:$A$49,0),MATCH(orders!K$1,products!$A$1:$G$1,0))</f>
        <v>0.5</v>
      </c>
      <c r="L765" s="7">
        <f>INDEX(products!$A$1:$G$49,MATCH(orders!$D765,products!$A$1:$A$49,0),MATCH(orders!L$1,products!$A$1:$G$1,0))</f>
        <v>7.77</v>
      </c>
      <c r="M765" s="7">
        <f t="shared" si="33"/>
        <v>23.31</v>
      </c>
      <c r="N765" t="str">
        <f t="shared" si="34"/>
        <v>Arabica</v>
      </c>
      <c r="O765" t="str">
        <f t="shared" si="35"/>
        <v>Light</v>
      </c>
      <c r="P765" t="str">
        <f>_xlfn.XLOOKUP(Table1[[#This Row],[Customer ID]],customers!$A$1:$A$1001,customers!$I$1:$I$1001,,0)</f>
        <v>No</v>
      </c>
    </row>
    <row r="766" spans="1:16" x14ac:dyDescent="0.2">
      <c r="A766" s="2" t="s">
        <v>4808</v>
      </c>
      <c r="B766" s="3">
        <v>43797</v>
      </c>
      <c r="C766" s="2" t="s">
        <v>4809</v>
      </c>
      <c r="D766" t="s">
        <v>6182</v>
      </c>
      <c r="E766" s="2">
        <v>6</v>
      </c>
      <c r="F766" s="2" t="str">
        <f>_xlfn.XLOOKUP(C766,customers!$A765:$A1765,customers!$B765:$B1765,,0)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5">
        <f>INDEX(products!$A$1:$G$49,MATCH(orders!$D766,products!$A$1:$A$49,0),MATCH(orders!K$1,products!$A$1:$G$1,0))</f>
        <v>2.5</v>
      </c>
      <c r="L766" s="7">
        <f>INDEX(products!$A$1:$G$49,MATCH(orders!$D766,products!$A$1:$A$49,0),MATCH(orders!L$1,products!$A$1:$G$1,0))</f>
        <v>29.784999999999997</v>
      </c>
      <c r="M766" s="7">
        <f t="shared" si="33"/>
        <v>178.70999999999998</v>
      </c>
      <c r="N766" t="str">
        <f t="shared" si="34"/>
        <v>Arabica</v>
      </c>
      <c r="O766" t="str">
        <f t="shared" si="35"/>
        <v>Light</v>
      </c>
      <c r="P766" t="str">
        <f>_xlfn.XLOOKUP(Table1[[#This Row],[Customer ID]],customers!$A$1:$A$1001,customers!$I$1:$I$1001,,0)</f>
        <v>Yes</v>
      </c>
    </row>
    <row r="767" spans="1:16" x14ac:dyDescent="0.2">
      <c r="A767" s="2" t="s">
        <v>4814</v>
      </c>
      <c r="B767" s="3">
        <v>43667</v>
      </c>
      <c r="C767" s="2" t="s">
        <v>4815</v>
      </c>
      <c r="D767" t="s">
        <v>6138</v>
      </c>
      <c r="E767" s="2">
        <v>6</v>
      </c>
      <c r="F767" s="2" t="str">
        <f>_xlfn.XLOOKUP(C767,customers!$A766:$A1766,customers!$B766:$B1766,,0)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5">
        <f>INDEX(products!$A$1:$G$49,MATCH(orders!$D767,products!$A$1:$A$49,0),MATCH(orders!K$1,products!$A$1:$G$1,0))</f>
        <v>1</v>
      </c>
      <c r="L767" s="7">
        <f>INDEX(products!$A$1:$G$49,MATCH(orders!$D767,products!$A$1:$A$49,0),MATCH(orders!L$1,products!$A$1:$G$1,0))</f>
        <v>9.9499999999999993</v>
      </c>
      <c r="M767" s="7">
        <f t="shared" si="33"/>
        <v>59.699999999999996</v>
      </c>
      <c r="N767" t="str">
        <f t="shared" si="34"/>
        <v>Robusta</v>
      </c>
      <c r="O767" t="str">
        <f t="shared" si="35"/>
        <v>Medium</v>
      </c>
      <c r="P767" t="str">
        <f>_xlfn.XLOOKUP(Table1[[#This Row],[Customer ID]],customers!$A$1:$A$1001,customers!$I$1:$I$1001,,0)</f>
        <v>Yes</v>
      </c>
    </row>
    <row r="768" spans="1:16" x14ac:dyDescent="0.2">
      <c r="A768" s="2" t="s">
        <v>4814</v>
      </c>
      <c r="B768" s="3">
        <v>43667</v>
      </c>
      <c r="C768" s="2" t="s">
        <v>4815</v>
      </c>
      <c r="D768" t="s">
        <v>6180</v>
      </c>
      <c r="E768" s="2">
        <v>2</v>
      </c>
      <c r="F768" s="2" t="str">
        <f>_xlfn.XLOOKUP(C768,customers!$A767:$A1767,customers!$B767:$B1767,,0)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5">
        <f>INDEX(products!$A$1:$G$49,MATCH(orders!$D768,products!$A$1:$A$49,0),MATCH(orders!K$1,products!$A$1:$G$1,0))</f>
        <v>0.5</v>
      </c>
      <c r="L768" s="7">
        <f>INDEX(products!$A$1:$G$49,MATCH(orders!$D768,products!$A$1:$A$49,0),MATCH(orders!L$1,products!$A$1:$G$1,0))</f>
        <v>7.77</v>
      </c>
      <c r="M768" s="7">
        <f t="shared" si="33"/>
        <v>15.54</v>
      </c>
      <c r="N768" t="str">
        <f t="shared" si="34"/>
        <v>Arabica</v>
      </c>
      <c r="O768" t="str">
        <f t="shared" si="35"/>
        <v>Light</v>
      </c>
      <c r="P768" t="str">
        <f>_xlfn.XLOOKUP(Table1[[#This Row],[Customer ID]],customers!$A$1:$A$1001,customers!$I$1:$I$1001,,0)</f>
        <v>Yes</v>
      </c>
    </row>
    <row r="769" spans="1:16" x14ac:dyDescent="0.2">
      <c r="A769" s="2" t="s">
        <v>4825</v>
      </c>
      <c r="B769" s="3">
        <v>44267</v>
      </c>
      <c r="C769" s="2" t="s">
        <v>4759</v>
      </c>
      <c r="D769" t="s">
        <v>6182</v>
      </c>
      <c r="E769" s="2">
        <v>3</v>
      </c>
      <c r="F769" s="2" t="e">
        <f>_xlfn.XLOOKUP(C769,customers!$A768:$A1768,customers!$B768:$B1768,,0)</f>
        <v>#N/A</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5">
        <f>INDEX(products!$A$1:$G$49,MATCH(orders!$D769,products!$A$1:$A$49,0),MATCH(orders!K$1,products!$A$1:$G$1,0))</f>
        <v>2.5</v>
      </c>
      <c r="L769" s="7">
        <f>INDEX(products!$A$1:$G$49,MATCH(orders!$D769,products!$A$1:$A$49,0),MATCH(orders!L$1,products!$A$1:$G$1,0))</f>
        <v>29.784999999999997</v>
      </c>
      <c r="M769" s="7">
        <f t="shared" si="33"/>
        <v>89.35499999999999</v>
      </c>
      <c r="N769" t="str">
        <f t="shared" si="34"/>
        <v>Arabica</v>
      </c>
      <c r="O769" t="str">
        <f t="shared" si="35"/>
        <v>Light</v>
      </c>
      <c r="P769" t="str">
        <f>_xlfn.XLOOKUP(Table1[[#This Row],[Customer ID]],customers!$A$1:$A$1001,customers!$I$1:$I$1001,,0)</f>
        <v>No</v>
      </c>
    </row>
    <row r="770" spans="1:16" x14ac:dyDescent="0.2">
      <c r="A770" s="2" t="s">
        <v>4831</v>
      </c>
      <c r="B770" s="3">
        <v>44562</v>
      </c>
      <c r="C770" s="2" t="s">
        <v>4759</v>
      </c>
      <c r="D770" t="s">
        <v>6179</v>
      </c>
      <c r="E770" s="2">
        <v>2</v>
      </c>
      <c r="F770" s="2" t="e">
        <f>_xlfn.XLOOKUP(C770,customers!$A769:$A1769,customers!$B769:$B1769,,0)</f>
        <v>#N/A</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5">
        <f>INDEX(products!$A$1:$G$49,MATCH(orders!$D770,products!$A$1:$A$49,0),MATCH(orders!K$1,products!$A$1:$G$1,0))</f>
        <v>1</v>
      </c>
      <c r="L770" s="7">
        <f>INDEX(products!$A$1:$G$49,MATCH(orders!$D770,products!$A$1:$A$49,0),MATCH(orders!L$1,products!$A$1:$G$1,0))</f>
        <v>11.95</v>
      </c>
      <c r="M770" s="7">
        <f t="shared" si="33"/>
        <v>23.9</v>
      </c>
      <c r="N770" t="str">
        <f t="shared" si="34"/>
        <v>Robusta</v>
      </c>
      <c r="O770" t="str">
        <f t="shared" si="35"/>
        <v>Light</v>
      </c>
      <c r="P770" t="str">
        <f>_xlfn.XLOOKUP(Table1[[#This Row],[Customer ID]],customers!$A$1:$A$1001,customers!$I$1:$I$1001,,0)</f>
        <v>No</v>
      </c>
    </row>
    <row r="771" spans="1:16" x14ac:dyDescent="0.2">
      <c r="A771" s="2" t="s">
        <v>4836</v>
      </c>
      <c r="B771" s="3">
        <v>43912</v>
      </c>
      <c r="C771" s="2" t="s">
        <v>4837</v>
      </c>
      <c r="D771" t="s">
        <v>6151</v>
      </c>
      <c r="E771" s="2">
        <v>6</v>
      </c>
      <c r="F771" s="2" t="str">
        <f>_xlfn.XLOOKUP(C771,customers!$A770:$A1770,customers!$B770:$B1770,,0)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5">
        <f>INDEX(products!$A$1:$G$49,MATCH(orders!$D771,products!$A$1:$A$49,0),MATCH(orders!K$1,products!$A$1:$G$1,0))</f>
        <v>2.5</v>
      </c>
      <c r="L771" s="7">
        <f>INDEX(products!$A$1:$G$49,MATCH(orders!$D771,products!$A$1:$A$49,0),MATCH(orders!L$1,products!$A$1:$G$1,0))</f>
        <v>22.884999999999998</v>
      </c>
      <c r="M771" s="7">
        <f t="shared" ref="M771:M834" si="36">L771*E771</f>
        <v>137.31</v>
      </c>
      <c r="N771" t="str">
        <f t="shared" ref="N771:N834" si="37">IF(I771="Rob","Robusta",IF(I771="Ara","Arabica",IF(I771="Exc","Excelsa",IF(I771="Lib","Liberica",""))))</f>
        <v>Robusta</v>
      </c>
      <c r="O771" t="str">
        <f t="shared" ref="O771:O834" si="38">IF(J771="M","Medium",IF(J771="L","Light",IF(J771="D","Dark","")))</f>
        <v>Medium</v>
      </c>
      <c r="P771" t="str">
        <f>_xlfn.XLOOKUP(Table1[[#This Row],[Customer ID]],customers!$A$1:$A$1001,customers!$I$1:$I$1001,,0)</f>
        <v>No</v>
      </c>
    </row>
    <row r="772" spans="1:16" x14ac:dyDescent="0.2">
      <c r="A772" s="2" t="s">
        <v>4842</v>
      </c>
      <c r="B772" s="3">
        <v>44092</v>
      </c>
      <c r="C772" s="2" t="s">
        <v>4843</v>
      </c>
      <c r="D772" t="s">
        <v>6147</v>
      </c>
      <c r="E772" s="2">
        <v>1</v>
      </c>
      <c r="F772" s="2" t="str">
        <f>_xlfn.XLOOKUP(C772,customers!$A771:$A1771,customers!$B771:$B1771,,0)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5">
        <f>INDEX(products!$A$1:$G$49,MATCH(orders!$D772,products!$A$1:$A$49,0),MATCH(orders!K$1,products!$A$1:$G$1,0))</f>
        <v>1</v>
      </c>
      <c r="L772" s="7">
        <f>INDEX(products!$A$1:$G$49,MATCH(orders!$D772,products!$A$1:$A$49,0),MATCH(orders!L$1,products!$A$1:$G$1,0))</f>
        <v>9.9499999999999993</v>
      </c>
      <c r="M772" s="7">
        <f t="shared" si="36"/>
        <v>9.9499999999999993</v>
      </c>
      <c r="N772" t="str">
        <f t="shared" si="37"/>
        <v>Arabica</v>
      </c>
      <c r="O772" t="str">
        <f t="shared" si="38"/>
        <v>Dark</v>
      </c>
      <c r="P772" t="str">
        <f>_xlfn.XLOOKUP(Table1[[#This Row],[Customer ID]],customers!$A$1:$A$1001,customers!$I$1:$I$1001,,0)</f>
        <v>No</v>
      </c>
    </row>
    <row r="773" spans="1:16" x14ac:dyDescent="0.2">
      <c r="A773" s="2" t="s">
        <v>4847</v>
      </c>
      <c r="B773" s="3">
        <v>43468</v>
      </c>
      <c r="C773" s="2" t="s">
        <v>4848</v>
      </c>
      <c r="D773" t="s">
        <v>6173</v>
      </c>
      <c r="E773" s="2">
        <v>3</v>
      </c>
      <c r="F773" s="2" t="str">
        <f>_xlfn.XLOOKUP(C773,customers!$A772:$A1772,customers!$B772:$B1772,,0)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5">
        <f>INDEX(products!$A$1:$G$49,MATCH(orders!$D773,products!$A$1:$A$49,0),MATCH(orders!K$1,products!$A$1:$G$1,0))</f>
        <v>0.5</v>
      </c>
      <c r="L773" s="7">
        <f>INDEX(products!$A$1:$G$49,MATCH(orders!$D773,products!$A$1:$A$49,0),MATCH(orders!L$1,products!$A$1:$G$1,0))</f>
        <v>7.169999999999999</v>
      </c>
      <c r="M773" s="7">
        <f t="shared" si="36"/>
        <v>21.509999999999998</v>
      </c>
      <c r="N773" t="str">
        <f t="shared" si="37"/>
        <v>Robusta</v>
      </c>
      <c r="O773" t="str">
        <f t="shared" si="38"/>
        <v>Light</v>
      </c>
      <c r="P773" t="str">
        <f>_xlfn.XLOOKUP(Table1[[#This Row],[Customer ID]],customers!$A$1:$A$1001,customers!$I$1:$I$1001,,0)</f>
        <v>No</v>
      </c>
    </row>
    <row r="774" spans="1:16" x14ac:dyDescent="0.2">
      <c r="A774" s="2" t="s">
        <v>4853</v>
      </c>
      <c r="B774" s="3">
        <v>44468</v>
      </c>
      <c r="C774" s="2" t="s">
        <v>4854</v>
      </c>
      <c r="D774" t="s">
        <v>6141</v>
      </c>
      <c r="E774" s="2">
        <v>6</v>
      </c>
      <c r="F774" s="2" t="str">
        <f>_xlfn.XLOOKUP(C774,customers!$A773:$A1773,customers!$B773:$B1773,,0)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5">
        <f>INDEX(products!$A$1:$G$49,MATCH(orders!$D774,products!$A$1:$A$49,0),MATCH(orders!K$1,products!$A$1:$G$1,0))</f>
        <v>1</v>
      </c>
      <c r="L774" s="7">
        <f>INDEX(products!$A$1:$G$49,MATCH(orders!$D774,products!$A$1:$A$49,0),MATCH(orders!L$1,products!$A$1:$G$1,0))</f>
        <v>13.75</v>
      </c>
      <c r="M774" s="7">
        <f t="shared" si="36"/>
        <v>82.5</v>
      </c>
      <c r="N774" t="str">
        <f t="shared" si="37"/>
        <v>Excelsa</v>
      </c>
      <c r="O774" t="str">
        <f t="shared" si="38"/>
        <v>Medium</v>
      </c>
      <c r="P774" t="str">
        <f>_xlfn.XLOOKUP(Table1[[#This Row],[Customer ID]],customers!$A$1:$A$1001,customers!$I$1:$I$1001,,0)</f>
        <v>No</v>
      </c>
    </row>
    <row r="775" spans="1:16" x14ac:dyDescent="0.2">
      <c r="A775" s="2" t="s">
        <v>4858</v>
      </c>
      <c r="B775" s="3">
        <v>44488</v>
      </c>
      <c r="C775" s="2" t="s">
        <v>4859</v>
      </c>
      <c r="D775" t="s">
        <v>6159</v>
      </c>
      <c r="E775" s="2">
        <v>2</v>
      </c>
      <c r="F775" s="2" t="str">
        <f>_xlfn.XLOOKUP(C775,customers!$A774:$A1774,customers!$B774:$B1774,,0)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5">
        <f>INDEX(products!$A$1:$G$49,MATCH(orders!$D775,products!$A$1:$A$49,0),MATCH(orders!K$1,products!$A$1:$G$1,0))</f>
        <v>0.2</v>
      </c>
      <c r="L775" s="7">
        <f>INDEX(products!$A$1:$G$49,MATCH(orders!$D775,products!$A$1:$A$49,0),MATCH(orders!L$1,products!$A$1:$G$1,0))</f>
        <v>4.3650000000000002</v>
      </c>
      <c r="M775" s="7">
        <f t="shared" si="36"/>
        <v>8.73</v>
      </c>
      <c r="N775" t="str">
        <f t="shared" si="37"/>
        <v>Liberica</v>
      </c>
      <c r="O775" t="str">
        <f t="shared" si="38"/>
        <v>Medium</v>
      </c>
      <c r="P775" t="str">
        <f>_xlfn.XLOOKUP(Table1[[#This Row],[Customer ID]],customers!$A$1:$A$1001,customers!$I$1:$I$1001,,0)</f>
        <v>No</v>
      </c>
    </row>
    <row r="776" spans="1:16" x14ac:dyDescent="0.2">
      <c r="A776" s="2" t="s">
        <v>4864</v>
      </c>
      <c r="B776" s="3">
        <v>44756</v>
      </c>
      <c r="C776" s="2" t="s">
        <v>4865</v>
      </c>
      <c r="D776" t="s">
        <v>6138</v>
      </c>
      <c r="E776" s="2">
        <v>2</v>
      </c>
      <c r="F776" s="2" t="str">
        <f>_xlfn.XLOOKUP(C776,customers!$A775:$A1775,customers!$B775:$B1775,,0)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5">
        <f>INDEX(products!$A$1:$G$49,MATCH(orders!$D776,products!$A$1:$A$49,0),MATCH(orders!K$1,products!$A$1:$G$1,0))</f>
        <v>1</v>
      </c>
      <c r="L776" s="7">
        <f>INDEX(products!$A$1:$G$49,MATCH(orders!$D776,products!$A$1:$A$49,0),MATCH(orders!L$1,products!$A$1:$G$1,0))</f>
        <v>9.9499999999999993</v>
      </c>
      <c r="M776" s="7">
        <f t="shared" si="36"/>
        <v>19.899999999999999</v>
      </c>
      <c r="N776" t="str">
        <f t="shared" si="37"/>
        <v>Robusta</v>
      </c>
      <c r="O776" t="str">
        <f t="shared" si="38"/>
        <v>Medium</v>
      </c>
      <c r="P776" t="str">
        <f>_xlfn.XLOOKUP(Table1[[#This Row],[Customer ID]],customers!$A$1:$A$1001,customers!$I$1:$I$1001,,0)</f>
        <v>Yes</v>
      </c>
    </row>
    <row r="777" spans="1:16" x14ac:dyDescent="0.2">
      <c r="A777" s="2" t="s">
        <v>4869</v>
      </c>
      <c r="B777" s="3">
        <v>44396</v>
      </c>
      <c r="C777" s="2" t="s">
        <v>4870</v>
      </c>
      <c r="D777" t="s">
        <v>6176</v>
      </c>
      <c r="E777" s="2">
        <v>2</v>
      </c>
      <c r="F777" s="2" t="str">
        <f>_xlfn.XLOOKUP(C777,customers!$A776:$A1776,customers!$B776:$B1776,,0)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5">
        <f>INDEX(products!$A$1:$G$49,MATCH(orders!$D777,products!$A$1:$A$49,0),MATCH(orders!K$1,products!$A$1:$G$1,0))</f>
        <v>0.5</v>
      </c>
      <c r="L777" s="7">
        <f>INDEX(products!$A$1:$G$49,MATCH(orders!$D777,products!$A$1:$A$49,0),MATCH(orders!L$1,products!$A$1:$G$1,0))</f>
        <v>8.91</v>
      </c>
      <c r="M777" s="7">
        <f t="shared" si="36"/>
        <v>17.82</v>
      </c>
      <c r="N777" t="str">
        <f t="shared" si="37"/>
        <v>Excelsa</v>
      </c>
      <c r="O777" t="str">
        <f t="shared" si="38"/>
        <v>Light</v>
      </c>
      <c r="P777" t="str">
        <f>_xlfn.XLOOKUP(Table1[[#This Row],[Customer ID]],customers!$A$1:$A$1001,customers!$I$1:$I$1001,,0)</f>
        <v>Yes</v>
      </c>
    </row>
    <row r="778" spans="1:16" x14ac:dyDescent="0.2">
      <c r="A778" s="2" t="s">
        <v>4875</v>
      </c>
      <c r="B778" s="3">
        <v>44540</v>
      </c>
      <c r="C778" s="2" t="s">
        <v>4876</v>
      </c>
      <c r="D778" t="s">
        <v>6157</v>
      </c>
      <c r="E778" s="2">
        <v>3</v>
      </c>
      <c r="F778" s="2" t="str">
        <f>_xlfn.XLOOKUP(C778,customers!$A777:$A1777,customers!$B777:$B1777,,0)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5">
        <f>INDEX(products!$A$1:$G$49,MATCH(orders!$D778,products!$A$1:$A$49,0),MATCH(orders!K$1,products!$A$1:$G$1,0))</f>
        <v>0.5</v>
      </c>
      <c r="L778" s="7">
        <f>INDEX(products!$A$1:$G$49,MATCH(orders!$D778,products!$A$1:$A$49,0),MATCH(orders!L$1,products!$A$1:$G$1,0))</f>
        <v>6.75</v>
      </c>
      <c r="M778" s="7">
        <f t="shared" si="36"/>
        <v>20.25</v>
      </c>
      <c r="N778" t="str">
        <f t="shared" si="37"/>
        <v>Arabica</v>
      </c>
      <c r="O778" t="str">
        <f t="shared" si="38"/>
        <v>Medium</v>
      </c>
      <c r="P778" t="str">
        <f>_xlfn.XLOOKUP(Table1[[#This Row],[Customer ID]],customers!$A$1:$A$1001,customers!$I$1:$I$1001,,0)</f>
        <v>No</v>
      </c>
    </row>
    <row r="779" spans="1:16" x14ac:dyDescent="0.2">
      <c r="A779" s="2" t="s">
        <v>4881</v>
      </c>
      <c r="B779" s="3">
        <v>43541</v>
      </c>
      <c r="C779" s="2" t="s">
        <v>4882</v>
      </c>
      <c r="D779" t="s">
        <v>6182</v>
      </c>
      <c r="E779" s="2">
        <v>2</v>
      </c>
      <c r="F779" s="2" t="str">
        <f>_xlfn.XLOOKUP(C779,customers!$A778:$A1778,customers!$B778:$B1778,,0)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5">
        <f>INDEX(products!$A$1:$G$49,MATCH(orders!$D779,products!$A$1:$A$49,0),MATCH(orders!K$1,products!$A$1:$G$1,0))</f>
        <v>2.5</v>
      </c>
      <c r="L779" s="7">
        <f>INDEX(products!$A$1:$G$49,MATCH(orders!$D779,products!$A$1:$A$49,0),MATCH(orders!L$1,products!$A$1:$G$1,0))</f>
        <v>29.784999999999997</v>
      </c>
      <c r="M779" s="7">
        <f t="shared" si="36"/>
        <v>59.569999999999993</v>
      </c>
      <c r="N779" t="str">
        <f t="shared" si="37"/>
        <v>Arabica</v>
      </c>
      <c r="O779" t="str">
        <f t="shared" si="38"/>
        <v>Light</v>
      </c>
      <c r="P779" t="str">
        <f>_xlfn.XLOOKUP(Table1[[#This Row],[Customer ID]],customers!$A$1:$A$1001,customers!$I$1:$I$1001,,0)</f>
        <v>No</v>
      </c>
    </row>
    <row r="780" spans="1:16" x14ac:dyDescent="0.2">
      <c r="A780" s="2" t="s">
        <v>4886</v>
      </c>
      <c r="B780" s="3">
        <v>43889</v>
      </c>
      <c r="C780" s="2" t="s">
        <v>4933</v>
      </c>
      <c r="D780" t="s">
        <v>6161</v>
      </c>
      <c r="E780" s="2">
        <v>2</v>
      </c>
      <c r="F780" s="2" t="str">
        <f>_xlfn.XLOOKUP(C780,customers!$A779:$A1779,customers!$B779:$B1779,,0)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5">
        <f>INDEX(products!$A$1:$G$49,MATCH(orders!$D780,products!$A$1:$A$49,0),MATCH(orders!K$1,products!$A$1:$G$1,0))</f>
        <v>0.5</v>
      </c>
      <c r="L780" s="7">
        <f>INDEX(products!$A$1:$G$49,MATCH(orders!$D780,products!$A$1:$A$49,0),MATCH(orders!L$1,products!$A$1:$G$1,0))</f>
        <v>9.51</v>
      </c>
      <c r="M780" s="7">
        <f t="shared" si="36"/>
        <v>19.02</v>
      </c>
      <c r="N780" t="str">
        <f t="shared" si="37"/>
        <v>Liberica</v>
      </c>
      <c r="O780" t="str">
        <f t="shared" si="38"/>
        <v>Light</v>
      </c>
      <c r="P780" t="str">
        <f>_xlfn.XLOOKUP(Table1[[#This Row],[Customer ID]],customers!$A$1:$A$1001,customers!$I$1:$I$1001,,0)</f>
        <v>Yes</v>
      </c>
    </row>
    <row r="781" spans="1:16" x14ac:dyDescent="0.2">
      <c r="A781" s="2" t="s">
        <v>4892</v>
      </c>
      <c r="B781" s="3">
        <v>43985</v>
      </c>
      <c r="C781" s="2" t="s">
        <v>4893</v>
      </c>
      <c r="D781" t="s">
        <v>6143</v>
      </c>
      <c r="E781" s="2">
        <v>6</v>
      </c>
      <c r="F781" s="2" t="str">
        <f>_xlfn.XLOOKUP(C781,customers!$A780:$A1780,customers!$B780:$B1780,,0)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5">
        <f>INDEX(products!$A$1:$G$49,MATCH(orders!$D781,products!$A$1:$A$49,0),MATCH(orders!K$1,products!$A$1:$G$1,0))</f>
        <v>1</v>
      </c>
      <c r="L781" s="7">
        <f>INDEX(products!$A$1:$G$49,MATCH(orders!$D781,products!$A$1:$A$49,0),MATCH(orders!L$1,products!$A$1:$G$1,0))</f>
        <v>12.95</v>
      </c>
      <c r="M781" s="7">
        <f t="shared" si="36"/>
        <v>77.699999999999989</v>
      </c>
      <c r="N781" t="str">
        <f t="shared" si="37"/>
        <v>Liberica</v>
      </c>
      <c r="O781" t="str">
        <f t="shared" si="38"/>
        <v>Dark</v>
      </c>
      <c r="P781" t="str">
        <f>_xlfn.XLOOKUP(Table1[[#This Row],[Customer ID]],customers!$A$1:$A$1001,customers!$I$1:$I$1001,,0)</f>
        <v>Yes</v>
      </c>
    </row>
    <row r="782" spans="1:16" x14ac:dyDescent="0.2">
      <c r="A782" s="2" t="s">
        <v>4898</v>
      </c>
      <c r="B782" s="3">
        <v>43883</v>
      </c>
      <c r="C782" s="2" t="s">
        <v>4899</v>
      </c>
      <c r="D782" t="s">
        <v>6141</v>
      </c>
      <c r="E782" s="2">
        <v>3</v>
      </c>
      <c r="F782" s="2" t="str">
        <f>_xlfn.XLOOKUP(C782,customers!$A781:$A1781,customers!$B781:$B1781,,0)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5">
        <f>INDEX(products!$A$1:$G$49,MATCH(orders!$D782,products!$A$1:$A$49,0),MATCH(orders!K$1,products!$A$1:$G$1,0))</f>
        <v>1</v>
      </c>
      <c r="L782" s="7">
        <f>INDEX(products!$A$1:$G$49,MATCH(orders!$D782,products!$A$1:$A$49,0),MATCH(orders!L$1,products!$A$1:$G$1,0))</f>
        <v>13.75</v>
      </c>
      <c r="M782" s="7">
        <f t="shared" si="36"/>
        <v>41.25</v>
      </c>
      <c r="N782" t="str">
        <f t="shared" si="37"/>
        <v>Excelsa</v>
      </c>
      <c r="O782" t="str">
        <f t="shared" si="38"/>
        <v>Medium</v>
      </c>
      <c r="P782" t="str">
        <f>_xlfn.XLOOKUP(Table1[[#This Row],[Customer ID]],customers!$A$1:$A$1001,customers!$I$1:$I$1001,,0)</f>
        <v>No</v>
      </c>
    </row>
    <row r="783" spans="1:16" x14ac:dyDescent="0.2">
      <c r="A783" s="2" t="s">
        <v>4903</v>
      </c>
      <c r="B783" s="3">
        <v>43778</v>
      </c>
      <c r="C783" s="2" t="s">
        <v>4904</v>
      </c>
      <c r="D783" t="s">
        <v>6164</v>
      </c>
      <c r="E783" s="2">
        <v>4</v>
      </c>
      <c r="F783" s="2" t="str">
        <f>_xlfn.XLOOKUP(C783,customers!$A782:$A1782,customers!$B782:$B1782,,0)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5">
        <f>INDEX(products!$A$1:$G$49,MATCH(orders!$D783,products!$A$1:$A$49,0),MATCH(orders!K$1,products!$A$1:$G$1,0))</f>
        <v>2.5</v>
      </c>
      <c r="L783" s="7">
        <f>INDEX(products!$A$1:$G$49,MATCH(orders!$D783,products!$A$1:$A$49,0),MATCH(orders!L$1,products!$A$1:$G$1,0))</f>
        <v>36.454999999999998</v>
      </c>
      <c r="M783" s="7">
        <f t="shared" si="36"/>
        <v>145.82</v>
      </c>
      <c r="N783" t="str">
        <f t="shared" si="37"/>
        <v>Liberica</v>
      </c>
      <c r="O783" t="str">
        <f t="shared" si="38"/>
        <v>Light</v>
      </c>
      <c r="P783" t="str">
        <f>_xlfn.XLOOKUP(Table1[[#This Row],[Customer ID]],customers!$A$1:$A$1001,customers!$I$1:$I$1001,,0)</f>
        <v>No</v>
      </c>
    </row>
    <row r="784" spans="1:16" x14ac:dyDescent="0.2">
      <c r="A784" s="2" t="s">
        <v>4909</v>
      </c>
      <c r="B784" s="3">
        <v>43897</v>
      </c>
      <c r="C784" s="2" t="s">
        <v>4910</v>
      </c>
      <c r="D784" t="s">
        <v>6184</v>
      </c>
      <c r="E784" s="2">
        <v>6</v>
      </c>
      <c r="F784" s="2" t="str">
        <f>_xlfn.XLOOKUP(C784,customers!$A783:$A1783,customers!$B783:$B1783,,0)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5">
        <f>INDEX(products!$A$1:$G$49,MATCH(orders!$D784,products!$A$1:$A$49,0),MATCH(orders!K$1,products!$A$1:$G$1,0))</f>
        <v>0.2</v>
      </c>
      <c r="L784" s="7">
        <f>INDEX(products!$A$1:$G$49,MATCH(orders!$D784,products!$A$1:$A$49,0),MATCH(orders!L$1,products!$A$1:$G$1,0))</f>
        <v>4.4550000000000001</v>
      </c>
      <c r="M784" s="7">
        <f t="shared" si="36"/>
        <v>26.73</v>
      </c>
      <c r="N784" t="str">
        <f t="shared" si="37"/>
        <v>Excelsa</v>
      </c>
      <c r="O784" t="str">
        <f t="shared" si="38"/>
        <v>Light</v>
      </c>
      <c r="P784" t="str">
        <f>_xlfn.XLOOKUP(Table1[[#This Row],[Customer ID]],customers!$A$1:$A$1001,customers!$I$1:$I$1001,,0)</f>
        <v>No</v>
      </c>
    </row>
    <row r="785" spans="1:16" x14ac:dyDescent="0.2">
      <c r="A785" s="2" t="s">
        <v>4915</v>
      </c>
      <c r="B785" s="3">
        <v>44312</v>
      </c>
      <c r="C785" s="2" t="s">
        <v>4916</v>
      </c>
      <c r="D785" t="s">
        <v>6160</v>
      </c>
      <c r="E785" s="2">
        <v>5</v>
      </c>
      <c r="F785" s="2" t="str">
        <f>_xlfn.XLOOKUP(C785,customers!$A784:$A1784,customers!$B784:$B1784,,0)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5">
        <f>INDEX(products!$A$1:$G$49,MATCH(orders!$D785,products!$A$1:$A$49,0),MATCH(orders!K$1,products!$A$1:$G$1,0))</f>
        <v>0.5</v>
      </c>
      <c r="L785" s="7">
        <f>INDEX(products!$A$1:$G$49,MATCH(orders!$D785,products!$A$1:$A$49,0),MATCH(orders!L$1,products!$A$1:$G$1,0))</f>
        <v>8.73</v>
      </c>
      <c r="M785" s="7">
        <f t="shared" si="36"/>
        <v>43.650000000000006</v>
      </c>
      <c r="N785" t="str">
        <f t="shared" si="37"/>
        <v>Liberica</v>
      </c>
      <c r="O785" t="str">
        <f t="shared" si="38"/>
        <v>Medium</v>
      </c>
      <c r="P785" t="str">
        <f>_xlfn.XLOOKUP(Table1[[#This Row],[Customer ID]],customers!$A$1:$A$1001,customers!$I$1:$I$1001,,0)</f>
        <v>Yes</v>
      </c>
    </row>
    <row r="786" spans="1:16" x14ac:dyDescent="0.2">
      <c r="A786" s="2" t="s">
        <v>4921</v>
      </c>
      <c r="B786" s="3">
        <v>44511</v>
      </c>
      <c r="C786" s="2" t="s">
        <v>4922</v>
      </c>
      <c r="D786" t="s">
        <v>6170</v>
      </c>
      <c r="E786" s="2">
        <v>2</v>
      </c>
      <c r="F786" s="2" t="str">
        <f>_xlfn.XLOOKUP(C786,customers!$A785:$A1785,customers!$B785:$B1785,,0)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5">
        <f>INDEX(products!$A$1:$G$49,MATCH(orders!$D786,products!$A$1:$A$49,0),MATCH(orders!K$1,products!$A$1:$G$1,0))</f>
        <v>1</v>
      </c>
      <c r="L786" s="7">
        <f>INDEX(products!$A$1:$G$49,MATCH(orders!$D786,products!$A$1:$A$49,0),MATCH(orders!L$1,products!$A$1:$G$1,0))</f>
        <v>15.85</v>
      </c>
      <c r="M786" s="7">
        <f t="shared" si="36"/>
        <v>31.7</v>
      </c>
      <c r="N786" t="str">
        <f t="shared" si="37"/>
        <v>Liberica</v>
      </c>
      <c r="O786" t="str">
        <f t="shared" si="38"/>
        <v>Light</v>
      </c>
      <c r="P786" t="str">
        <f>_xlfn.XLOOKUP(Table1[[#This Row],[Customer ID]],customers!$A$1:$A$1001,customers!$I$1:$I$1001,,0)</f>
        <v>No</v>
      </c>
    </row>
    <row r="787" spans="1:16" x14ac:dyDescent="0.2">
      <c r="A787" s="2" t="s">
        <v>4926</v>
      </c>
      <c r="B787" s="3">
        <v>44362</v>
      </c>
      <c r="C787" s="2" t="s">
        <v>4927</v>
      </c>
      <c r="D787" t="s">
        <v>6168</v>
      </c>
      <c r="E787" s="2">
        <v>1</v>
      </c>
      <c r="F787" s="2" t="str">
        <f>_xlfn.XLOOKUP(C787,customers!$A786:$A1786,customers!$B786:$B1786,,0)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5">
        <f>INDEX(products!$A$1:$G$49,MATCH(orders!$D787,products!$A$1:$A$49,0),MATCH(orders!K$1,products!$A$1:$G$1,0))</f>
        <v>2.5</v>
      </c>
      <c r="L787" s="7">
        <f>INDEX(products!$A$1:$G$49,MATCH(orders!$D787,products!$A$1:$A$49,0),MATCH(orders!L$1,products!$A$1:$G$1,0))</f>
        <v>22.884999999999998</v>
      </c>
      <c r="M787" s="7">
        <f t="shared" si="36"/>
        <v>22.884999999999998</v>
      </c>
      <c r="N787" t="str">
        <f t="shared" si="37"/>
        <v>Arabica</v>
      </c>
      <c r="O787" t="str">
        <f t="shared" si="38"/>
        <v>Dark</v>
      </c>
      <c r="P787" t="str">
        <f>_xlfn.XLOOKUP(Table1[[#This Row],[Customer ID]],customers!$A$1:$A$1001,customers!$I$1:$I$1001,,0)</f>
        <v>No</v>
      </c>
    </row>
    <row r="788" spans="1:16" x14ac:dyDescent="0.2">
      <c r="A788" s="2" t="s">
        <v>4932</v>
      </c>
      <c r="B788" s="3">
        <v>43888</v>
      </c>
      <c r="C788" s="2" t="s">
        <v>4933</v>
      </c>
      <c r="D788" t="s">
        <v>6185</v>
      </c>
      <c r="E788" s="2">
        <v>1</v>
      </c>
      <c r="F788" s="2" t="str">
        <f>_xlfn.XLOOKUP(C788,customers!$A787:$A1787,customers!$B787:$B1787,,0)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5">
        <f>INDEX(products!$A$1:$G$49,MATCH(orders!$D788,products!$A$1:$A$49,0),MATCH(orders!K$1,products!$A$1:$G$1,0))</f>
        <v>2.5</v>
      </c>
      <c r="L788" s="7">
        <f>INDEX(products!$A$1:$G$49,MATCH(orders!$D788,products!$A$1:$A$49,0),MATCH(orders!L$1,products!$A$1:$G$1,0))</f>
        <v>27.945</v>
      </c>
      <c r="M788" s="7">
        <f t="shared" si="36"/>
        <v>27.945</v>
      </c>
      <c r="N788" t="str">
        <f t="shared" si="37"/>
        <v>Excelsa</v>
      </c>
      <c r="O788" t="str">
        <f t="shared" si="38"/>
        <v>Dark</v>
      </c>
      <c r="P788" t="str">
        <f>_xlfn.XLOOKUP(Table1[[#This Row],[Customer ID]],customers!$A$1:$A$1001,customers!$I$1:$I$1001,,0)</f>
        <v>Yes</v>
      </c>
    </row>
    <row r="789" spans="1:16" x14ac:dyDescent="0.2">
      <c r="A789" s="2" t="s">
        <v>4938</v>
      </c>
      <c r="B789" s="3">
        <v>44305</v>
      </c>
      <c r="C789" s="2" t="s">
        <v>4939</v>
      </c>
      <c r="D789" t="s">
        <v>6141</v>
      </c>
      <c r="E789" s="2">
        <v>6</v>
      </c>
      <c r="F789" s="2" t="str">
        <f>_xlfn.XLOOKUP(C789,customers!$A788:$A1788,customers!$B788:$B1788,,0)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5">
        <f>INDEX(products!$A$1:$G$49,MATCH(orders!$D789,products!$A$1:$A$49,0),MATCH(orders!K$1,products!$A$1:$G$1,0))</f>
        <v>1</v>
      </c>
      <c r="L789" s="7">
        <f>INDEX(products!$A$1:$G$49,MATCH(orders!$D789,products!$A$1:$A$49,0),MATCH(orders!L$1,products!$A$1:$G$1,0))</f>
        <v>13.75</v>
      </c>
      <c r="M789" s="7">
        <f t="shared" si="36"/>
        <v>82.5</v>
      </c>
      <c r="N789" t="str">
        <f t="shared" si="37"/>
        <v>Excelsa</v>
      </c>
      <c r="O789" t="str">
        <f t="shared" si="38"/>
        <v>Medium</v>
      </c>
      <c r="P789" t="str">
        <f>_xlfn.XLOOKUP(Table1[[#This Row],[Customer ID]],customers!$A$1:$A$1001,customers!$I$1:$I$1001,,0)</f>
        <v>Yes</v>
      </c>
    </row>
    <row r="790" spans="1:16" x14ac:dyDescent="0.2">
      <c r="A790" s="2" t="s">
        <v>4943</v>
      </c>
      <c r="B790" s="3">
        <v>44771</v>
      </c>
      <c r="C790" s="2" t="s">
        <v>4944</v>
      </c>
      <c r="D790" t="s">
        <v>6151</v>
      </c>
      <c r="E790" s="2">
        <v>2</v>
      </c>
      <c r="F790" s="2" t="str">
        <f>_xlfn.XLOOKUP(C790,customers!$A789:$A1789,customers!$B789:$B1789,,0)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5">
        <f>INDEX(products!$A$1:$G$49,MATCH(orders!$D790,products!$A$1:$A$49,0),MATCH(orders!K$1,products!$A$1:$G$1,0))</f>
        <v>2.5</v>
      </c>
      <c r="L790" s="7">
        <f>INDEX(products!$A$1:$G$49,MATCH(orders!$D790,products!$A$1:$A$49,0),MATCH(orders!L$1,products!$A$1:$G$1,0))</f>
        <v>22.884999999999998</v>
      </c>
      <c r="M790" s="7">
        <f t="shared" si="36"/>
        <v>45.769999999999996</v>
      </c>
      <c r="N790" t="str">
        <f t="shared" si="37"/>
        <v>Robusta</v>
      </c>
      <c r="O790" t="str">
        <f t="shared" si="38"/>
        <v>Medium</v>
      </c>
      <c r="P790" t="str">
        <f>_xlfn.XLOOKUP(Table1[[#This Row],[Customer ID]],customers!$A$1:$A$1001,customers!$I$1:$I$1001,,0)</f>
        <v>Yes</v>
      </c>
    </row>
    <row r="791" spans="1:16" x14ac:dyDescent="0.2">
      <c r="A791" s="2" t="s">
        <v>4949</v>
      </c>
      <c r="B791" s="3">
        <v>43485</v>
      </c>
      <c r="C791" s="2" t="s">
        <v>4950</v>
      </c>
      <c r="D791" t="s">
        <v>6140</v>
      </c>
      <c r="E791" s="2">
        <v>6</v>
      </c>
      <c r="F791" s="2" t="str">
        <f>_xlfn.XLOOKUP(C791,customers!$A790:$A1790,customers!$B790:$B1790,,0)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5">
        <f>INDEX(products!$A$1:$G$49,MATCH(orders!$D791,products!$A$1:$A$49,0),MATCH(orders!K$1,products!$A$1:$G$1,0))</f>
        <v>1</v>
      </c>
      <c r="L791" s="7">
        <f>INDEX(products!$A$1:$G$49,MATCH(orders!$D791,products!$A$1:$A$49,0),MATCH(orders!L$1,products!$A$1:$G$1,0))</f>
        <v>12.95</v>
      </c>
      <c r="M791" s="7">
        <f t="shared" si="36"/>
        <v>77.699999999999989</v>
      </c>
      <c r="N791" t="str">
        <f t="shared" si="37"/>
        <v>Arabica</v>
      </c>
      <c r="O791" t="str">
        <f t="shared" si="38"/>
        <v>Light</v>
      </c>
      <c r="P791" t="str">
        <f>_xlfn.XLOOKUP(Table1[[#This Row],[Customer ID]],customers!$A$1:$A$1001,customers!$I$1:$I$1001,,0)</f>
        <v>No</v>
      </c>
    </row>
    <row r="792" spans="1:16" x14ac:dyDescent="0.2">
      <c r="A792" s="2" t="s">
        <v>4955</v>
      </c>
      <c r="B792" s="3">
        <v>44613</v>
      </c>
      <c r="C792" s="2" t="s">
        <v>4956</v>
      </c>
      <c r="D792" t="s">
        <v>6180</v>
      </c>
      <c r="E792" s="2">
        <v>3</v>
      </c>
      <c r="F792" s="2" t="str">
        <f>_xlfn.XLOOKUP(C792,customers!$A791:$A1791,customers!$B791:$B1791,,0)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5">
        <f>INDEX(products!$A$1:$G$49,MATCH(orders!$D792,products!$A$1:$A$49,0),MATCH(orders!K$1,products!$A$1:$G$1,0))</f>
        <v>0.5</v>
      </c>
      <c r="L792" s="7">
        <f>INDEX(products!$A$1:$G$49,MATCH(orders!$D792,products!$A$1:$A$49,0),MATCH(orders!L$1,products!$A$1:$G$1,0))</f>
        <v>7.77</v>
      </c>
      <c r="M792" s="7">
        <f t="shared" si="36"/>
        <v>23.31</v>
      </c>
      <c r="N792" t="str">
        <f t="shared" si="37"/>
        <v>Arabica</v>
      </c>
      <c r="O792" t="str">
        <f t="shared" si="38"/>
        <v>Light</v>
      </c>
      <c r="P792" t="str">
        <f>_xlfn.XLOOKUP(Table1[[#This Row],[Customer ID]],customers!$A$1:$A$1001,customers!$I$1:$I$1001,,0)</f>
        <v>No</v>
      </c>
    </row>
    <row r="793" spans="1:16" x14ac:dyDescent="0.2">
      <c r="A793" s="2" t="s">
        <v>4961</v>
      </c>
      <c r="B793" s="3">
        <v>43954</v>
      </c>
      <c r="C793" s="2" t="s">
        <v>4962</v>
      </c>
      <c r="D793" t="s">
        <v>6145</v>
      </c>
      <c r="E793" s="2">
        <v>5</v>
      </c>
      <c r="F793" s="2" t="str">
        <f>_xlfn.XLOOKUP(C793,customers!$A792:$A1792,customers!$B792:$B1792,,0)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5">
        <f>INDEX(products!$A$1:$G$49,MATCH(orders!$D793,products!$A$1:$A$49,0),MATCH(orders!K$1,products!$A$1:$G$1,0))</f>
        <v>0.2</v>
      </c>
      <c r="L793" s="7">
        <f>INDEX(products!$A$1:$G$49,MATCH(orders!$D793,products!$A$1:$A$49,0),MATCH(orders!L$1,products!$A$1:$G$1,0))</f>
        <v>4.7549999999999999</v>
      </c>
      <c r="M793" s="7">
        <f t="shared" si="36"/>
        <v>23.774999999999999</v>
      </c>
      <c r="N793" t="str">
        <f t="shared" si="37"/>
        <v>Liberica</v>
      </c>
      <c r="O793" t="str">
        <f t="shared" si="38"/>
        <v>Light</v>
      </c>
      <c r="P793" t="str">
        <f>_xlfn.XLOOKUP(Table1[[#This Row],[Customer ID]],customers!$A$1:$A$1001,customers!$I$1:$I$1001,,0)</f>
        <v>Yes</v>
      </c>
    </row>
    <row r="794" spans="1:16" x14ac:dyDescent="0.2">
      <c r="A794" s="2" t="s">
        <v>4967</v>
      </c>
      <c r="B794" s="3">
        <v>43545</v>
      </c>
      <c r="C794" s="2" t="s">
        <v>4968</v>
      </c>
      <c r="D794" t="s">
        <v>6160</v>
      </c>
      <c r="E794" s="2">
        <v>6</v>
      </c>
      <c r="F794" s="2" t="str">
        <f>_xlfn.XLOOKUP(C794,customers!$A793:$A1793,customers!$B793:$B1793,,0)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5">
        <f>INDEX(products!$A$1:$G$49,MATCH(orders!$D794,products!$A$1:$A$49,0),MATCH(orders!K$1,products!$A$1:$G$1,0))</f>
        <v>0.5</v>
      </c>
      <c r="L794" s="7">
        <f>INDEX(products!$A$1:$G$49,MATCH(orders!$D794,products!$A$1:$A$49,0),MATCH(orders!L$1,products!$A$1:$G$1,0))</f>
        <v>8.73</v>
      </c>
      <c r="M794" s="7">
        <f t="shared" si="36"/>
        <v>52.38</v>
      </c>
      <c r="N794" t="str">
        <f t="shared" si="37"/>
        <v>Liberica</v>
      </c>
      <c r="O794" t="str">
        <f t="shared" si="38"/>
        <v>Medium</v>
      </c>
      <c r="P794" t="str">
        <f>_xlfn.XLOOKUP(Table1[[#This Row],[Customer ID]],customers!$A$1:$A$1001,customers!$I$1:$I$1001,,0)</f>
        <v>Yes</v>
      </c>
    </row>
    <row r="795" spans="1:16" x14ac:dyDescent="0.2">
      <c r="A795" s="2" t="s">
        <v>4973</v>
      </c>
      <c r="B795" s="3">
        <v>43629</v>
      </c>
      <c r="C795" s="2" t="s">
        <v>4974</v>
      </c>
      <c r="D795" t="s">
        <v>6178</v>
      </c>
      <c r="E795" s="2">
        <v>5</v>
      </c>
      <c r="F795" s="2" t="str">
        <f>_xlfn.XLOOKUP(C795,customers!$A794:$A1794,customers!$B794:$B1794,,0)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5">
        <f>INDEX(products!$A$1:$G$49,MATCH(orders!$D795,products!$A$1:$A$49,0),MATCH(orders!K$1,products!$A$1:$G$1,0))</f>
        <v>0.2</v>
      </c>
      <c r="L795" s="7">
        <f>INDEX(products!$A$1:$G$49,MATCH(orders!$D795,products!$A$1:$A$49,0),MATCH(orders!L$1,products!$A$1:$G$1,0))</f>
        <v>3.5849999999999995</v>
      </c>
      <c r="M795" s="7">
        <f t="shared" si="36"/>
        <v>17.924999999999997</v>
      </c>
      <c r="N795" t="str">
        <f t="shared" si="37"/>
        <v>Robusta</v>
      </c>
      <c r="O795" t="str">
        <f t="shared" si="38"/>
        <v>Light</v>
      </c>
      <c r="P795" t="str">
        <f>_xlfn.XLOOKUP(Table1[[#This Row],[Customer ID]],customers!$A$1:$A$1001,customers!$I$1:$I$1001,,0)</f>
        <v>No</v>
      </c>
    </row>
    <row r="796" spans="1:16" x14ac:dyDescent="0.2">
      <c r="A796" s="2" t="s">
        <v>4979</v>
      </c>
      <c r="B796" s="3">
        <v>43987</v>
      </c>
      <c r="C796" s="2" t="s">
        <v>4980</v>
      </c>
      <c r="D796" t="s">
        <v>6182</v>
      </c>
      <c r="E796" s="2">
        <v>5</v>
      </c>
      <c r="F796" s="2" t="str">
        <f>_xlfn.XLOOKUP(C796,customers!$A795:$A1795,customers!$B795:$B1795,,0)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5">
        <f>INDEX(products!$A$1:$G$49,MATCH(orders!$D796,products!$A$1:$A$49,0),MATCH(orders!K$1,products!$A$1:$G$1,0))</f>
        <v>2.5</v>
      </c>
      <c r="L796" s="7">
        <f>INDEX(products!$A$1:$G$49,MATCH(orders!$D796,products!$A$1:$A$49,0),MATCH(orders!L$1,products!$A$1:$G$1,0))</f>
        <v>29.784999999999997</v>
      </c>
      <c r="M796" s="7">
        <f t="shared" si="36"/>
        <v>148.92499999999998</v>
      </c>
      <c r="N796" t="str">
        <f t="shared" si="37"/>
        <v>Arabica</v>
      </c>
      <c r="O796" t="str">
        <f t="shared" si="38"/>
        <v>Light</v>
      </c>
      <c r="P796" t="str">
        <f>_xlfn.XLOOKUP(Table1[[#This Row],[Customer ID]],customers!$A$1:$A$1001,customers!$I$1:$I$1001,,0)</f>
        <v>No</v>
      </c>
    </row>
    <row r="797" spans="1:16" x14ac:dyDescent="0.2">
      <c r="A797" s="2" t="s">
        <v>4985</v>
      </c>
      <c r="B797" s="3">
        <v>43540</v>
      </c>
      <c r="C797" s="2" t="s">
        <v>4986</v>
      </c>
      <c r="D797" t="s">
        <v>6173</v>
      </c>
      <c r="E797" s="2">
        <v>4</v>
      </c>
      <c r="F797" s="2" t="str">
        <f>_xlfn.XLOOKUP(C797,customers!$A796:$A1796,customers!$B796:$B1796,,0)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5">
        <f>INDEX(products!$A$1:$G$49,MATCH(orders!$D797,products!$A$1:$A$49,0),MATCH(orders!K$1,products!$A$1:$G$1,0))</f>
        <v>0.5</v>
      </c>
      <c r="L797" s="7">
        <f>INDEX(products!$A$1:$G$49,MATCH(orders!$D797,products!$A$1:$A$49,0),MATCH(orders!L$1,products!$A$1:$G$1,0))</f>
        <v>7.169999999999999</v>
      </c>
      <c r="M797" s="7">
        <f t="shared" si="36"/>
        <v>28.679999999999996</v>
      </c>
      <c r="N797" t="str">
        <f t="shared" si="37"/>
        <v>Robusta</v>
      </c>
      <c r="O797" t="str">
        <f t="shared" si="38"/>
        <v>Light</v>
      </c>
      <c r="P797" t="str">
        <f>_xlfn.XLOOKUP(Table1[[#This Row],[Customer ID]],customers!$A$1:$A$1001,customers!$I$1:$I$1001,,0)</f>
        <v>No</v>
      </c>
    </row>
    <row r="798" spans="1:16" x14ac:dyDescent="0.2">
      <c r="A798" s="2" t="s">
        <v>4991</v>
      </c>
      <c r="B798" s="3">
        <v>44533</v>
      </c>
      <c r="C798" s="2" t="s">
        <v>4992</v>
      </c>
      <c r="D798" t="s">
        <v>6161</v>
      </c>
      <c r="E798" s="2">
        <v>1</v>
      </c>
      <c r="F798" s="2" t="str">
        <f>_xlfn.XLOOKUP(C798,customers!$A797:$A1797,customers!$B797:$B1797,,0)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5">
        <f>INDEX(products!$A$1:$G$49,MATCH(orders!$D798,products!$A$1:$A$49,0),MATCH(orders!K$1,products!$A$1:$G$1,0))</f>
        <v>0.5</v>
      </c>
      <c r="L798" s="7">
        <f>INDEX(products!$A$1:$G$49,MATCH(orders!$D798,products!$A$1:$A$49,0),MATCH(orders!L$1,products!$A$1:$G$1,0))</f>
        <v>9.51</v>
      </c>
      <c r="M798" s="7">
        <f t="shared" si="36"/>
        <v>9.51</v>
      </c>
      <c r="N798" t="str">
        <f t="shared" si="37"/>
        <v>Liberica</v>
      </c>
      <c r="O798" t="str">
        <f t="shared" si="38"/>
        <v>Light</v>
      </c>
      <c r="P798" t="str">
        <f>_xlfn.XLOOKUP(Table1[[#This Row],[Customer ID]],customers!$A$1:$A$1001,customers!$I$1:$I$1001,,0)</f>
        <v>No</v>
      </c>
    </row>
    <row r="799" spans="1:16" x14ac:dyDescent="0.2">
      <c r="A799" s="2" t="s">
        <v>4996</v>
      </c>
      <c r="B799" s="3">
        <v>44751</v>
      </c>
      <c r="C799" s="2" t="s">
        <v>4997</v>
      </c>
      <c r="D799" t="s">
        <v>6180</v>
      </c>
      <c r="E799" s="2">
        <v>4</v>
      </c>
      <c r="F799" s="2" t="str">
        <f>_xlfn.XLOOKUP(C799,customers!$A798:$A1798,customers!$B798:$B1798,,0)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5">
        <f>INDEX(products!$A$1:$G$49,MATCH(orders!$D799,products!$A$1:$A$49,0),MATCH(orders!K$1,products!$A$1:$G$1,0))</f>
        <v>0.5</v>
      </c>
      <c r="L799" s="7">
        <f>INDEX(products!$A$1:$G$49,MATCH(orders!$D799,products!$A$1:$A$49,0),MATCH(orders!L$1,products!$A$1:$G$1,0))</f>
        <v>7.77</v>
      </c>
      <c r="M799" s="7">
        <f t="shared" si="36"/>
        <v>31.08</v>
      </c>
      <c r="N799" t="str">
        <f t="shared" si="37"/>
        <v>Arabica</v>
      </c>
      <c r="O799" t="str">
        <f t="shared" si="38"/>
        <v>Light</v>
      </c>
      <c r="P799" t="str">
        <f>_xlfn.XLOOKUP(Table1[[#This Row],[Customer ID]],customers!$A$1:$A$1001,customers!$I$1:$I$1001,,0)</f>
        <v>No</v>
      </c>
    </row>
    <row r="800" spans="1:16" x14ac:dyDescent="0.2">
      <c r="A800" s="2" t="s">
        <v>5002</v>
      </c>
      <c r="B800" s="3">
        <v>43950</v>
      </c>
      <c r="C800" s="2" t="s">
        <v>5003</v>
      </c>
      <c r="D800" t="s">
        <v>6163</v>
      </c>
      <c r="E800" s="2">
        <v>3</v>
      </c>
      <c r="F800" s="2" t="str">
        <f>_xlfn.XLOOKUP(C800,customers!$A799:$A1799,customers!$B799:$B1799,,0)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5">
        <f>INDEX(products!$A$1:$G$49,MATCH(orders!$D800,products!$A$1:$A$49,0),MATCH(orders!K$1,products!$A$1:$G$1,0))</f>
        <v>0.2</v>
      </c>
      <c r="L800" s="7">
        <f>INDEX(products!$A$1:$G$49,MATCH(orders!$D800,products!$A$1:$A$49,0),MATCH(orders!L$1,products!$A$1:$G$1,0))</f>
        <v>2.6849999999999996</v>
      </c>
      <c r="M800" s="7">
        <f t="shared" si="36"/>
        <v>8.0549999999999997</v>
      </c>
      <c r="N800" t="str">
        <f t="shared" si="37"/>
        <v>Robusta</v>
      </c>
      <c r="O800" t="str">
        <f t="shared" si="38"/>
        <v>Dark</v>
      </c>
      <c r="P800" t="str">
        <f>_xlfn.XLOOKUP(Table1[[#This Row],[Customer ID]],customers!$A$1:$A$1001,customers!$I$1:$I$1001,,0)</f>
        <v>Yes</v>
      </c>
    </row>
    <row r="801" spans="1:16" x14ac:dyDescent="0.2">
      <c r="A801" s="2" t="s">
        <v>5008</v>
      </c>
      <c r="B801" s="3">
        <v>44588</v>
      </c>
      <c r="C801" s="2" t="s">
        <v>5009</v>
      </c>
      <c r="D801" t="s">
        <v>6183</v>
      </c>
      <c r="E801" s="2">
        <v>3</v>
      </c>
      <c r="F801" s="2" t="str">
        <f>_xlfn.XLOOKUP(C801,customers!$A800:$A1800,customers!$B800:$B1800,,0)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5">
        <f>INDEX(products!$A$1:$G$49,MATCH(orders!$D801,products!$A$1:$A$49,0),MATCH(orders!K$1,products!$A$1:$G$1,0))</f>
        <v>1</v>
      </c>
      <c r="L801" s="7">
        <f>INDEX(products!$A$1:$G$49,MATCH(orders!$D801,products!$A$1:$A$49,0),MATCH(orders!L$1,products!$A$1:$G$1,0))</f>
        <v>12.15</v>
      </c>
      <c r="M801" s="7">
        <f t="shared" si="36"/>
        <v>36.450000000000003</v>
      </c>
      <c r="N801" t="str">
        <f t="shared" si="37"/>
        <v>Excelsa</v>
      </c>
      <c r="O801" t="str">
        <f t="shared" si="38"/>
        <v>Dark</v>
      </c>
      <c r="P801" t="str">
        <f>_xlfn.XLOOKUP(Table1[[#This Row],[Customer ID]],customers!$A$1:$A$1001,customers!$I$1:$I$1001,,0)</f>
        <v>Yes</v>
      </c>
    </row>
    <row r="802" spans="1:16" x14ac:dyDescent="0.2">
      <c r="A802" s="2" t="s">
        <v>5012</v>
      </c>
      <c r="B802" s="3">
        <v>44240</v>
      </c>
      <c r="C802" s="2" t="s">
        <v>5013</v>
      </c>
      <c r="D802" t="s">
        <v>6163</v>
      </c>
      <c r="E802" s="2">
        <v>6</v>
      </c>
      <c r="F802" s="2" t="str">
        <f>_xlfn.XLOOKUP(C802,customers!$A801:$A1801,customers!$B801:$B1801,,0)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5">
        <f>INDEX(products!$A$1:$G$49,MATCH(orders!$D802,products!$A$1:$A$49,0),MATCH(orders!K$1,products!$A$1:$G$1,0))</f>
        <v>0.2</v>
      </c>
      <c r="L802" s="7">
        <f>INDEX(products!$A$1:$G$49,MATCH(orders!$D802,products!$A$1:$A$49,0),MATCH(orders!L$1,products!$A$1:$G$1,0))</f>
        <v>2.6849999999999996</v>
      </c>
      <c r="M802" s="7">
        <f t="shared" si="36"/>
        <v>16.11</v>
      </c>
      <c r="N802" t="str">
        <f t="shared" si="37"/>
        <v>Robusta</v>
      </c>
      <c r="O802" t="str">
        <f t="shared" si="38"/>
        <v>Dark</v>
      </c>
      <c r="P802" t="str">
        <f>_xlfn.XLOOKUP(Table1[[#This Row],[Customer ID]],customers!$A$1:$A$1001,customers!$I$1:$I$1001,,0)</f>
        <v>No</v>
      </c>
    </row>
    <row r="803" spans="1:16" x14ac:dyDescent="0.2">
      <c r="A803" s="2" t="s">
        <v>5018</v>
      </c>
      <c r="B803" s="3">
        <v>44025</v>
      </c>
      <c r="C803" s="2" t="s">
        <v>5019</v>
      </c>
      <c r="D803" t="s">
        <v>6149</v>
      </c>
      <c r="E803" s="2">
        <v>2</v>
      </c>
      <c r="F803" s="2" t="str">
        <f>_xlfn.XLOOKUP(C803,customers!$A802:$A1802,customers!$B802:$B1802,,0)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5">
        <f>INDEX(products!$A$1:$G$49,MATCH(orders!$D803,products!$A$1:$A$49,0),MATCH(orders!K$1,products!$A$1:$G$1,0))</f>
        <v>2.5</v>
      </c>
      <c r="L803" s="7">
        <f>INDEX(products!$A$1:$G$49,MATCH(orders!$D803,products!$A$1:$A$49,0),MATCH(orders!L$1,products!$A$1:$G$1,0))</f>
        <v>20.584999999999997</v>
      </c>
      <c r="M803" s="7">
        <f t="shared" si="36"/>
        <v>41.169999999999995</v>
      </c>
      <c r="N803" t="str">
        <f t="shared" si="37"/>
        <v>Robusta</v>
      </c>
      <c r="O803" t="str">
        <f t="shared" si="38"/>
        <v>Dark</v>
      </c>
      <c r="P803" t="str">
        <f>_xlfn.XLOOKUP(Table1[[#This Row],[Customer ID]],customers!$A$1:$A$1001,customers!$I$1:$I$1001,,0)</f>
        <v>Yes</v>
      </c>
    </row>
    <row r="804" spans="1:16" x14ac:dyDescent="0.2">
      <c r="A804" s="2" t="s">
        <v>5024</v>
      </c>
      <c r="B804" s="3">
        <v>43902</v>
      </c>
      <c r="C804" s="2" t="s">
        <v>5025</v>
      </c>
      <c r="D804" t="s">
        <v>6163</v>
      </c>
      <c r="E804" s="2">
        <v>4</v>
      </c>
      <c r="F804" s="2" t="str">
        <f>_xlfn.XLOOKUP(C804,customers!$A803:$A1803,customers!$B803:$B1803,,0)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5">
        <f>INDEX(products!$A$1:$G$49,MATCH(orders!$D804,products!$A$1:$A$49,0),MATCH(orders!K$1,products!$A$1:$G$1,0))</f>
        <v>0.2</v>
      </c>
      <c r="L804" s="7">
        <f>INDEX(products!$A$1:$G$49,MATCH(orders!$D804,products!$A$1:$A$49,0),MATCH(orders!L$1,products!$A$1:$G$1,0))</f>
        <v>2.6849999999999996</v>
      </c>
      <c r="M804" s="7">
        <f t="shared" si="36"/>
        <v>10.739999999999998</v>
      </c>
      <c r="N804" t="str">
        <f t="shared" si="37"/>
        <v>Robusta</v>
      </c>
      <c r="O804" t="str">
        <f t="shared" si="38"/>
        <v>Dark</v>
      </c>
      <c r="P804" t="str">
        <f>_xlfn.XLOOKUP(Table1[[#This Row],[Customer ID]],customers!$A$1:$A$1001,customers!$I$1:$I$1001,,0)</f>
        <v>No</v>
      </c>
    </row>
    <row r="805" spans="1:16" x14ac:dyDescent="0.2">
      <c r="A805" s="2" t="s">
        <v>5030</v>
      </c>
      <c r="B805" s="3">
        <v>43955</v>
      </c>
      <c r="C805" s="2" t="s">
        <v>5031</v>
      </c>
      <c r="D805" t="s">
        <v>6166</v>
      </c>
      <c r="E805" s="2">
        <v>4</v>
      </c>
      <c r="F805" s="2" t="str">
        <f>_xlfn.XLOOKUP(C805,customers!$A804:$A1804,customers!$B804:$B1804,,0)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5">
        <f>INDEX(products!$A$1:$G$49,MATCH(orders!$D805,products!$A$1:$A$49,0),MATCH(orders!K$1,products!$A$1:$G$1,0))</f>
        <v>2.5</v>
      </c>
      <c r="L805" s="7">
        <f>INDEX(products!$A$1:$G$49,MATCH(orders!$D805,products!$A$1:$A$49,0),MATCH(orders!L$1,products!$A$1:$G$1,0))</f>
        <v>31.624999999999996</v>
      </c>
      <c r="M805" s="7">
        <f t="shared" si="36"/>
        <v>126.49999999999999</v>
      </c>
      <c r="N805" t="str">
        <f t="shared" si="37"/>
        <v>Excelsa</v>
      </c>
      <c r="O805" t="str">
        <f t="shared" si="38"/>
        <v>Medium</v>
      </c>
      <c r="P805" t="str">
        <f>_xlfn.XLOOKUP(Table1[[#This Row],[Customer ID]],customers!$A$1:$A$1001,customers!$I$1:$I$1001,,0)</f>
        <v>No</v>
      </c>
    </row>
    <row r="806" spans="1:16" x14ac:dyDescent="0.2">
      <c r="A806" s="2" t="s">
        <v>5035</v>
      </c>
      <c r="B806" s="3">
        <v>44289</v>
      </c>
      <c r="C806" s="2" t="s">
        <v>5036</v>
      </c>
      <c r="D806" t="s">
        <v>6179</v>
      </c>
      <c r="E806" s="2">
        <v>2</v>
      </c>
      <c r="F806" s="2" t="str">
        <f>_xlfn.XLOOKUP(C806,customers!$A805:$A1805,customers!$B805:$B1805,,0)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5">
        <f>INDEX(products!$A$1:$G$49,MATCH(orders!$D806,products!$A$1:$A$49,0),MATCH(orders!K$1,products!$A$1:$G$1,0))</f>
        <v>1</v>
      </c>
      <c r="L806" s="7">
        <f>INDEX(products!$A$1:$G$49,MATCH(orders!$D806,products!$A$1:$A$49,0),MATCH(orders!L$1,products!$A$1:$G$1,0))</f>
        <v>11.95</v>
      </c>
      <c r="M806" s="7">
        <f t="shared" si="36"/>
        <v>23.9</v>
      </c>
      <c r="N806" t="str">
        <f t="shared" si="37"/>
        <v>Robusta</v>
      </c>
      <c r="O806" t="str">
        <f t="shared" si="38"/>
        <v>Light</v>
      </c>
      <c r="P806" t="str">
        <f>_xlfn.XLOOKUP(Table1[[#This Row],[Customer ID]],customers!$A$1:$A$1001,customers!$I$1:$I$1001,,0)</f>
        <v>No</v>
      </c>
    </row>
    <row r="807" spans="1:16" x14ac:dyDescent="0.2">
      <c r="A807" s="2" t="s">
        <v>5040</v>
      </c>
      <c r="B807" s="3">
        <v>44713</v>
      </c>
      <c r="C807" s="2" t="s">
        <v>5041</v>
      </c>
      <c r="D807" t="s">
        <v>6146</v>
      </c>
      <c r="E807" s="2">
        <v>1</v>
      </c>
      <c r="F807" s="2" t="str">
        <f>_xlfn.XLOOKUP(C807,customers!$A806:$A1806,customers!$B806:$B1806,,0)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5">
        <f>INDEX(products!$A$1:$G$49,MATCH(orders!$D807,products!$A$1:$A$49,0),MATCH(orders!K$1,products!$A$1:$G$1,0))</f>
        <v>0.5</v>
      </c>
      <c r="L807" s="7">
        <f>INDEX(products!$A$1:$G$49,MATCH(orders!$D807,products!$A$1:$A$49,0),MATCH(orders!L$1,products!$A$1:$G$1,0))</f>
        <v>5.97</v>
      </c>
      <c r="M807" s="7">
        <f t="shared" si="36"/>
        <v>5.97</v>
      </c>
      <c r="N807" t="str">
        <f t="shared" si="37"/>
        <v>Robusta</v>
      </c>
      <c r="O807" t="str">
        <f t="shared" si="38"/>
        <v>Medium</v>
      </c>
      <c r="P807" t="str">
        <f>_xlfn.XLOOKUP(Table1[[#This Row],[Customer ID]],customers!$A$1:$A$1001,customers!$I$1:$I$1001,,0)</f>
        <v>No</v>
      </c>
    </row>
    <row r="808" spans="1:16" x14ac:dyDescent="0.2">
      <c r="A808" s="2" t="s">
        <v>5046</v>
      </c>
      <c r="B808" s="3">
        <v>44241</v>
      </c>
      <c r="C808" s="2" t="s">
        <v>5047</v>
      </c>
      <c r="D808" t="s">
        <v>6150</v>
      </c>
      <c r="E808" s="2">
        <v>2</v>
      </c>
      <c r="F808" s="2" t="str">
        <f>_xlfn.XLOOKUP(C808,customers!$A807:$A1807,customers!$B807:$B1807,,0)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5">
        <f>INDEX(products!$A$1:$G$49,MATCH(orders!$D808,products!$A$1:$A$49,0),MATCH(orders!K$1,products!$A$1:$G$1,0))</f>
        <v>0.2</v>
      </c>
      <c r="L808" s="7">
        <f>INDEX(products!$A$1:$G$49,MATCH(orders!$D808,products!$A$1:$A$49,0),MATCH(orders!L$1,products!$A$1:$G$1,0))</f>
        <v>3.8849999999999998</v>
      </c>
      <c r="M808" s="7">
        <f t="shared" si="36"/>
        <v>7.77</v>
      </c>
      <c r="N808" t="str">
        <f t="shared" si="37"/>
        <v>Liberica</v>
      </c>
      <c r="O808" t="str">
        <f t="shared" si="38"/>
        <v>Dark</v>
      </c>
      <c r="P808" t="str">
        <f>_xlfn.XLOOKUP(Table1[[#This Row],[Customer ID]],customers!$A$1:$A$1001,customers!$I$1:$I$1001,,0)</f>
        <v>Yes</v>
      </c>
    </row>
    <row r="809" spans="1:16" x14ac:dyDescent="0.2">
      <c r="A809" s="2" t="s">
        <v>5050</v>
      </c>
      <c r="B809" s="3">
        <v>44543</v>
      </c>
      <c r="C809" s="2" t="s">
        <v>5051</v>
      </c>
      <c r="D809" t="s">
        <v>6169</v>
      </c>
      <c r="E809" s="2">
        <v>3</v>
      </c>
      <c r="F809" s="2" t="str">
        <f>_xlfn.XLOOKUP(C809,customers!$A808:$A1808,customers!$B808:$B1808,,0)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5">
        <f>INDEX(products!$A$1:$G$49,MATCH(orders!$D809,products!$A$1:$A$49,0),MATCH(orders!K$1,products!$A$1:$G$1,0))</f>
        <v>0.5</v>
      </c>
      <c r="L809" s="7">
        <f>INDEX(products!$A$1:$G$49,MATCH(orders!$D809,products!$A$1:$A$49,0),MATCH(orders!L$1,products!$A$1:$G$1,0))</f>
        <v>7.77</v>
      </c>
      <c r="M809" s="7">
        <f t="shared" si="36"/>
        <v>23.31</v>
      </c>
      <c r="N809" t="str">
        <f t="shared" si="37"/>
        <v>Liberica</v>
      </c>
      <c r="O809" t="str">
        <f t="shared" si="38"/>
        <v>Dark</v>
      </c>
      <c r="P809" t="str">
        <f>_xlfn.XLOOKUP(Table1[[#This Row],[Customer ID]],customers!$A$1:$A$1001,customers!$I$1:$I$1001,,0)</f>
        <v>No</v>
      </c>
    </row>
    <row r="810" spans="1:16" x14ac:dyDescent="0.2">
      <c r="A810" s="2" t="s">
        <v>5056</v>
      </c>
      <c r="B810" s="3">
        <v>43868</v>
      </c>
      <c r="C810" s="2" t="s">
        <v>5113</v>
      </c>
      <c r="D810" t="s">
        <v>6142</v>
      </c>
      <c r="E810" s="2">
        <v>5</v>
      </c>
      <c r="F810" s="2" t="str">
        <f>_xlfn.XLOOKUP(C810,customers!$A809:$A1809,customers!$B809:$B1809,,0)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5">
        <f>INDEX(products!$A$1:$G$49,MATCH(orders!$D810,products!$A$1:$A$49,0),MATCH(orders!K$1,products!$A$1:$G$1,0))</f>
        <v>2.5</v>
      </c>
      <c r="L810" s="7">
        <f>INDEX(products!$A$1:$G$49,MATCH(orders!$D810,products!$A$1:$A$49,0),MATCH(orders!L$1,products!$A$1:$G$1,0))</f>
        <v>27.484999999999996</v>
      </c>
      <c r="M810" s="7">
        <f t="shared" si="36"/>
        <v>137.42499999999998</v>
      </c>
      <c r="N810" t="str">
        <f t="shared" si="37"/>
        <v>Robusta</v>
      </c>
      <c r="O810" t="str">
        <f t="shared" si="38"/>
        <v>Light</v>
      </c>
      <c r="P810" t="str">
        <f>_xlfn.XLOOKUP(Table1[[#This Row],[Customer ID]],customers!$A$1:$A$1001,customers!$I$1:$I$1001,,0)</f>
        <v>No</v>
      </c>
    </row>
    <row r="811" spans="1:16" x14ac:dyDescent="0.2">
      <c r="A811" s="2" t="s">
        <v>5062</v>
      </c>
      <c r="B811" s="3">
        <v>44235</v>
      </c>
      <c r="C811" s="2" t="s">
        <v>5063</v>
      </c>
      <c r="D811" t="s">
        <v>6163</v>
      </c>
      <c r="E811" s="2">
        <v>3</v>
      </c>
      <c r="F811" s="2" t="str">
        <f>_xlfn.XLOOKUP(C811,customers!$A810:$A1810,customers!$B810:$B1810,,0)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5">
        <f>INDEX(products!$A$1:$G$49,MATCH(orders!$D811,products!$A$1:$A$49,0),MATCH(orders!K$1,products!$A$1:$G$1,0))</f>
        <v>0.2</v>
      </c>
      <c r="L811" s="7">
        <f>INDEX(products!$A$1:$G$49,MATCH(orders!$D811,products!$A$1:$A$49,0),MATCH(orders!L$1,products!$A$1:$G$1,0))</f>
        <v>2.6849999999999996</v>
      </c>
      <c r="M811" s="7">
        <f t="shared" si="36"/>
        <v>8.0549999999999997</v>
      </c>
      <c r="N811" t="str">
        <f t="shared" si="37"/>
        <v>Robusta</v>
      </c>
      <c r="O811" t="str">
        <f t="shared" si="38"/>
        <v>Dark</v>
      </c>
      <c r="P811" t="str">
        <f>_xlfn.XLOOKUP(Table1[[#This Row],[Customer ID]],customers!$A$1:$A$1001,customers!$I$1:$I$1001,,0)</f>
        <v>Yes</v>
      </c>
    </row>
    <row r="812" spans="1:16" x14ac:dyDescent="0.2">
      <c r="A812" s="2" t="s">
        <v>5067</v>
      </c>
      <c r="B812" s="3">
        <v>44054</v>
      </c>
      <c r="C812" s="2" t="s">
        <v>5068</v>
      </c>
      <c r="D812" t="s">
        <v>6161</v>
      </c>
      <c r="E812" s="2">
        <v>3</v>
      </c>
      <c r="F812" s="2" t="str">
        <f>_xlfn.XLOOKUP(C812,customers!$A811:$A1811,customers!$B811:$B1811,,0)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5">
        <f>INDEX(products!$A$1:$G$49,MATCH(orders!$D812,products!$A$1:$A$49,0),MATCH(orders!K$1,products!$A$1:$G$1,0))</f>
        <v>0.5</v>
      </c>
      <c r="L812" s="7">
        <f>INDEX(products!$A$1:$G$49,MATCH(orders!$D812,products!$A$1:$A$49,0),MATCH(orders!L$1,products!$A$1:$G$1,0))</f>
        <v>9.51</v>
      </c>
      <c r="M812" s="7">
        <f t="shared" si="36"/>
        <v>28.53</v>
      </c>
      <c r="N812" t="str">
        <f t="shared" si="37"/>
        <v>Liberica</v>
      </c>
      <c r="O812" t="str">
        <f t="shared" si="38"/>
        <v>Light</v>
      </c>
      <c r="P812" t="str">
        <f>_xlfn.XLOOKUP(Table1[[#This Row],[Customer ID]],customers!$A$1:$A$1001,customers!$I$1:$I$1001,,0)</f>
        <v>No</v>
      </c>
    </row>
    <row r="813" spans="1:16" x14ac:dyDescent="0.2">
      <c r="A813" s="2" t="s">
        <v>5073</v>
      </c>
      <c r="B813" s="3">
        <v>44114</v>
      </c>
      <c r="C813" s="2" t="s">
        <v>5074</v>
      </c>
      <c r="D813" t="s">
        <v>6155</v>
      </c>
      <c r="E813" s="2">
        <v>6</v>
      </c>
      <c r="F813" s="2" t="str">
        <f>_xlfn.XLOOKUP(C813,customers!$A812:$A1812,customers!$B812:$B1812,,0)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5">
        <f>INDEX(products!$A$1:$G$49,MATCH(orders!$D813,products!$A$1:$A$49,0),MATCH(orders!K$1,products!$A$1:$G$1,0))</f>
        <v>1</v>
      </c>
      <c r="L813" s="7">
        <f>INDEX(products!$A$1:$G$49,MATCH(orders!$D813,products!$A$1:$A$49,0),MATCH(orders!L$1,products!$A$1:$G$1,0))</f>
        <v>11.25</v>
      </c>
      <c r="M813" s="7">
        <f t="shared" si="36"/>
        <v>67.5</v>
      </c>
      <c r="N813" t="str">
        <f t="shared" si="37"/>
        <v>Arabica</v>
      </c>
      <c r="O813" t="str">
        <f t="shared" si="38"/>
        <v>Medium</v>
      </c>
      <c r="P813" t="str">
        <f>_xlfn.XLOOKUP(Table1[[#This Row],[Customer ID]],customers!$A$1:$A$1001,customers!$I$1:$I$1001,,0)</f>
        <v>Yes</v>
      </c>
    </row>
    <row r="814" spans="1:16" x14ac:dyDescent="0.2">
      <c r="A814" s="2" t="s">
        <v>5073</v>
      </c>
      <c r="B814" s="3">
        <v>44114</v>
      </c>
      <c r="C814" s="2" t="s">
        <v>5074</v>
      </c>
      <c r="D814" t="s">
        <v>6165</v>
      </c>
      <c r="E814" s="2">
        <v>6</v>
      </c>
      <c r="F814" s="2" t="str">
        <f>_xlfn.XLOOKUP(C814,customers!$A813:$A1813,customers!$B813:$B1813,,0)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5">
        <f>INDEX(products!$A$1:$G$49,MATCH(orders!$D814,products!$A$1:$A$49,0),MATCH(orders!K$1,products!$A$1:$G$1,0))</f>
        <v>2.5</v>
      </c>
      <c r="L814" s="7">
        <f>INDEX(products!$A$1:$G$49,MATCH(orders!$D814,products!$A$1:$A$49,0),MATCH(orders!L$1,products!$A$1:$G$1,0))</f>
        <v>29.784999999999997</v>
      </c>
      <c r="M814" s="7">
        <f t="shared" si="36"/>
        <v>178.70999999999998</v>
      </c>
      <c r="N814" t="str">
        <f t="shared" si="37"/>
        <v>Liberica</v>
      </c>
      <c r="O814" t="str">
        <f t="shared" si="38"/>
        <v>Dark</v>
      </c>
      <c r="P814" t="str">
        <f>_xlfn.XLOOKUP(Table1[[#This Row],[Customer ID]],customers!$A$1:$A$1001,customers!$I$1:$I$1001,,0)</f>
        <v>Yes</v>
      </c>
    </row>
    <row r="815" spans="1:16" x14ac:dyDescent="0.2">
      <c r="A815" s="2" t="s">
        <v>5084</v>
      </c>
      <c r="B815" s="3">
        <v>44173</v>
      </c>
      <c r="C815" s="2" t="s">
        <v>5085</v>
      </c>
      <c r="D815" t="s">
        <v>6166</v>
      </c>
      <c r="E815" s="2">
        <v>1</v>
      </c>
      <c r="F815" s="2" t="str">
        <f>_xlfn.XLOOKUP(C815,customers!$A814:$A1814,customers!$B814:$B1814,,0)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5">
        <f>INDEX(products!$A$1:$G$49,MATCH(orders!$D815,products!$A$1:$A$49,0),MATCH(orders!K$1,products!$A$1:$G$1,0))</f>
        <v>2.5</v>
      </c>
      <c r="L815" s="7">
        <f>INDEX(products!$A$1:$G$49,MATCH(orders!$D815,products!$A$1:$A$49,0),MATCH(orders!L$1,products!$A$1:$G$1,0))</f>
        <v>31.624999999999996</v>
      </c>
      <c r="M815" s="7">
        <f t="shared" si="36"/>
        <v>31.624999999999996</v>
      </c>
      <c r="N815" t="str">
        <f t="shared" si="37"/>
        <v>Excelsa</v>
      </c>
      <c r="O815" t="str">
        <f t="shared" si="38"/>
        <v>Medium</v>
      </c>
      <c r="P815" t="str">
        <f>_xlfn.XLOOKUP(Table1[[#This Row],[Customer ID]],customers!$A$1:$A$1001,customers!$I$1:$I$1001,,0)</f>
        <v>Yes</v>
      </c>
    </row>
    <row r="816" spans="1:16" x14ac:dyDescent="0.2">
      <c r="A816" s="2" t="s">
        <v>5090</v>
      </c>
      <c r="B816" s="3">
        <v>43573</v>
      </c>
      <c r="C816" s="2" t="s">
        <v>5091</v>
      </c>
      <c r="D816" t="s">
        <v>6184</v>
      </c>
      <c r="E816" s="2">
        <v>2</v>
      </c>
      <c r="F816" s="2" t="str">
        <f>_xlfn.XLOOKUP(C816,customers!$A815:$A1815,customers!$B815:$B1815,,0)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5">
        <f>INDEX(products!$A$1:$G$49,MATCH(orders!$D816,products!$A$1:$A$49,0),MATCH(orders!K$1,products!$A$1:$G$1,0))</f>
        <v>0.2</v>
      </c>
      <c r="L816" s="7">
        <f>INDEX(products!$A$1:$G$49,MATCH(orders!$D816,products!$A$1:$A$49,0),MATCH(orders!L$1,products!$A$1:$G$1,0))</f>
        <v>4.4550000000000001</v>
      </c>
      <c r="M816" s="7">
        <f t="shared" si="36"/>
        <v>8.91</v>
      </c>
      <c r="N816" t="str">
        <f t="shared" si="37"/>
        <v>Excelsa</v>
      </c>
      <c r="O816" t="str">
        <f t="shared" si="38"/>
        <v>Light</v>
      </c>
      <c r="P816" t="str">
        <f>_xlfn.XLOOKUP(Table1[[#This Row],[Customer ID]],customers!$A$1:$A$1001,customers!$I$1:$I$1001,,0)</f>
        <v>No</v>
      </c>
    </row>
    <row r="817" spans="1:16" x14ac:dyDescent="0.2">
      <c r="A817" s="2" t="s">
        <v>5096</v>
      </c>
      <c r="B817" s="3">
        <v>44200</v>
      </c>
      <c r="C817" s="2" t="s">
        <v>5097</v>
      </c>
      <c r="D817" t="s">
        <v>6146</v>
      </c>
      <c r="E817" s="2">
        <v>6</v>
      </c>
      <c r="F817" s="2" t="str">
        <f>_xlfn.XLOOKUP(C817,customers!$A816:$A1816,customers!$B816:$B1816,,0)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5">
        <f>INDEX(products!$A$1:$G$49,MATCH(orders!$D817,products!$A$1:$A$49,0),MATCH(orders!K$1,products!$A$1:$G$1,0))</f>
        <v>0.5</v>
      </c>
      <c r="L817" s="7">
        <f>INDEX(products!$A$1:$G$49,MATCH(orders!$D817,products!$A$1:$A$49,0),MATCH(orders!L$1,products!$A$1:$G$1,0))</f>
        <v>5.97</v>
      </c>
      <c r="M817" s="7">
        <f t="shared" si="36"/>
        <v>35.82</v>
      </c>
      <c r="N817" t="str">
        <f t="shared" si="37"/>
        <v>Robusta</v>
      </c>
      <c r="O817" t="str">
        <f t="shared" si="38"/>
        <v>Medium</v>
      </c>
      <c r="P817" t="str">
        <f>_xlfn.XLOOKUP(Table1[[#This Row],[Customer ID]],customers!$A$1:$A$1001,customers!$I$1:$I$1001,,0)</f>
        <v>No</v>
      </c>
    </row>
    <row r="818" spans="1:16" x14ac:dyDescent="0.2">
      <c r="A818" s="2" t="s">
        <v>5102</v>
      </c>
      <c r="B818" s="3">
        <v>43534</v>
      </c>
      <c r="C818" s="2" t="s">
        <v>5103</v>
      </c>
      <c r="D818" t="s">
        <v>6161</v>
      </c>
      <c r="E818" s="2">
        <v>4</v>
      </c>
      <c r="F818" s="2" t="str">
        <f>_xlfn.XLOOKUP(C818,customers!$A817:$A1817,customers!$B817:$B1817,,0)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5">
        <f>INDEX(products!$A$1:$G$49,MATCH(orders!$D818,products!$A$1:$A$49,0),MATCH(orders!K$1,products!$A$1:$G$1,0))</f>
        <v>0.5</v>
      </c>
      <c r="L818" s="7">
        <f>INDEX(products!$A$1:$G$49,MATCH(orders!$D818,products!$A$1:$A$49,0),MATCH(orders!L$1,products!$A$1:$G$1,0))</f>
        <v>9.51</v>
      </c>
      <c r="M818" s="7">
        <f t="shared" si="36"/>
        <v>38.04</v>
      </c>
      <c r="N818" t="str">
        <f t="shared" si="37"/>
        <v>Liberica</v>
      </c>
      <c r="O818" t="str">
        <f t="shared" si="38"/>
        <v>Light</v>
      </c>
      <c r="P818" t="str">
        <f>_xlfn.XLOOKUP(Table1[[#This Row],[Customer ID]],customers!$A$1:$A$1001,customers!$I$1:$I$1001,,0)</f>
        <v>No</v>
      </c>
    </row>
    <row r="819" spans="1:16" x14ac:dyDescent="0.2">
      <c r="A819" s="2" t="s">
        <v>5107</v>
      </c>
      <c r="B819" s="3">
        <v>43798</v>
      </c>
      <c r="C819" s="2" t="s">
        <v>5108</v>
      </c>
      <c r="D819" t="s">
        <v>6169</v>
      </c>
      <c r="E819" s="2">
        <v>2</v>
      </c>
      <c r="F819" s="2" t="str">
        <f>_xlfn.XLOOKUP(C819,customers!$A818:$A1818,customers!$B818:$B1818,,0)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5">
        <f>INDEX(products!$A$1:$G$49,MATCH(orders!$D819,products!$A$1:$A$49,0),MATCH(orders!K$1,products!$A$1:$G$1,0))</f>
        <v>0.5</v>
      </c>
      <c r="L819" s="7">
        <f>INDEX(products!$A$1:$G$49,MATCH(orders!$D819,products!$A$1:$A$49,0),MATCH(orders!L$1,products!$A$1:$G$1,0))</f>
        <v>7.77</v>
      </c>
      <c r="M819" s="7">
        <f t="shared" si="36"/>
        <v>15.54</v>
      </c>
      <c r="N819" t="str">
        <f t="shared" si="37"/>
        <v>Liberica</v>
      </c>
      <c r="O819" t="str">
        <f t="shared" si="38"/>
        <v>Dark</v>
      </c>
      <c r="P819" t="str">
        <f>_xlfn.XLOOKUP(Table1[[#This Row],[Customer ID]],customers!$A$1:$A$1001,customers!$I$1:$I$1001,,0)</f>
        <v>No</v>
      </c>
    </row>
    <row r="820" spans="1:16" x14ac:dyDescent="0.2">
      <c r="A820" s="2" t="s">
        <v>5112</v>
      </c>
      <c r="B820" s="3">
        <v>44761</v>
      </c>
      <c r="C820" s="2" t="s">
        <v>5113</v>
      </c>
      <c r="D820" t="s">
        <v>6170</v>
      </c>
      <c r="E820" s="2">
        <v>5</v>
      </c>
      <c r="F820" s="2" t="str">
        <f>_xlfn.XLOOKUP(C820,customers!$A819:$A1819,customers!$B819:$B1819,,0)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5">
        <f>INDEX(products!$A$1:$G$49,MATCH(orders!$D820,products!$A$1:$A$49,0),MATCH(orders!K$1,products!$A$1:$G$1,0))</f>
        <v>1</v>
      </c>
      <c r="L820" s="7">
        <f>INDEX(products!$A$1:$G$49,MATCH(orders!$D820,products!$A$1:$A$49,0),MATCH(orders!L$1,products!$A$1:$G$1,0))</f>
        <v>15.85</v>
      </c>
      <c r="M820" s="7">
        <f t="shared" si="36"/>
        <v>79.25</v>
      </c>
      <c r="N820" t="str">
        <f t="shared" si="37"/>
        <v>Liberica</v>
      </c>
      <c r="O820" t="str">
        <f t="shared" si="38"/>
        <v>Light</v>
      </c>
      <c r="P820" t="str">
        <f>_xlfn.XLOOKUP(Table1[[#This Row],[Customer ID]],customers!$A$1:$A$1001,customers!$I$1:$I$1001,,0)</f>
        <v>No</v>
      </c>
    </row>
    <row r="821" spans="1:16" x14ac:dyDescent="0.2">
      <c r="A821" s="2" t="s">
        <v>5117</v>
      </c>
      <c r="B821" s="3">
        <v>44008</v>
      </c>
      <c r="C821" s="2" t="s">
        <v>5118</v>
      </c>
      <c r="D821" t="s">
        <v>6145</v>
      </c>
      <c r="E821" s="2">
        <v>1</v>
      </c>
      <c r="F821" s="2" t="str">
        <f>_xlfn.XLOOKUP(C821,customers!$A820:$A1820,customers!$B820:$B1820,,0)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5">
        <f>INDEX(products!$A$1:$G$49,MATCH(orders!$D821,products!$A$1:$A$49,0),MATCH(orders!K$1,products!$A$1:$G$1,0))</f>
        <v>0.2</v>
      </c>
      <c r="L821" s="7">
        <f>INDEX(products!$A$1:$G$49,MATCH(orders!$D821,products!$A$1:$A$49,0),MATCH(orders!L$1,products!$A$1:$G$1,0))</f>
        <v>4.7549999999999999</v>
      </c>
      <c r="M821" s="7">
        <f t="shared" si="36"/>
        <v>4.7549999999999999</v>
      </c>
      <c r="N821" t="str">
        <f t="shared" si="37"/>
        <v>Liberica</v>
      </c>
      <c r="O821" t="str">
        <f t="shared" si="38"/>
        <v>Light</v>
      </c>
      <c r="P821" t="str">
        <f>_xlfn.XLOOKUP(Table1[[#This Row],[Customer ID]],customers!$A$1:$A$1001,customers!$I$1:$I$1001,,0)</f>
        <v>Yes</v>
      </c>
    </row>
    <row r="822" spans="1:16" x14ac:dyDescent="0.2">
      <c r="A822" s="2" t="s">
        <v>5123</v>
      </c>
      <c r="B822" s="3">
        <v>43510</v>
      </c>
      <c r="C822" s="2" t="s">
        <v>5124</v>
      </c>
      <c r="D822" t="s">
        <v>6141</v>
      </c>
      <c r="E822" s="2">
        <v>4</v>
      </c>
      <c r="F822" s="2" t="str">
        <f>_xlfn.XLOOKUP(C822,customers!$A821:$A1821,customers!$B821:$B1821,,0)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5">
        <f>INDEX(products!$A$1:$G$49,MATCH(orders!$D822,products!$A$1:$A$49,0),MATCH(orders!K$1,products!$A$1:$G$1,0))</f>
        <v>1</v>
      </c>
      <c r="L822" s="7">
        <f>INDEX(products!$A$1:$G$49,MATCH(orders!$D822,products!$A$1:$A$49,0),MATCH(orders!L$1,products!$A$1:$G$1,0))</f>
        <v>13.75</v>
      </c>
      <c r="M822" s="7">
        <f t="shared" si="36"/>
        <v>55</v>
      </c>
      <c r="N822" t="str">
        <f t="shared" si="37"/>
        <v>Excelsa</v>
      </c>
      <c r="O822" t="str">
        <f t="shared" si="38"/>
        <v>Medium</v>
      </c>
      <c r="P822" t="str">
        <f>_xlfn.XLOOKUP(Table1[[#This Row],[Customer ID]],customers!$A$1:$A$1001,customers!$I$1:$I$1001,,0)</f>
        <v>Yes</v>
      </c>
    </row>
    <row r="823" spans="1:16" x14ac:dyDescent="0.2">
      <c r="A823" s="2" t="s">
        <v>5129</v>
      </c>
      <c r="B823" s="3">
        <v>44144</v>
      </c>
      <c r="C823" s="2" t="s">
        <v>5130</v>
      </c>
      <c r="D823" t="s">
        <v>6172</v>
      </c>
      <c r="E823" s="2">
        <v>5</v>
      </c>
      <c r="F823" s="2" t="str">
        <f>_xlfn.XLOOKUP(C823,customers!$A822:$A1822,customers!$B822:$B1822,,0)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5">
        <f>INDEX(products!$A$1:$G$49,MATCH(orders!$D823,products!$A$1:$A$49,0),MATCH(orders!K$1,products!$A$1:$G$1,0))</f>
        <v>0.5</v>
      </c>
      <c r="L823" s="7">
        <f>INDEX(products!$A$1:$G$49,MATCH(orders!$D823,products!$A$1:$A$49,0),MATCH(orders!L$1,products!$A$1:$G$1,0))</f>
        <v>5.3699999999999992</v>
      </c>
      <c r="M823" s="7">
        <f t="shared" si="36"/>
        <v>26.849999999999994</v>
      </c>
      <c r="N823" t="str">
        <f t="shared" si="37"/>
        <v>Robusta</v>
      </c>
      <c r="O823" t="str">
        <f t="shared" si="38"/>
        <v>Dark</v>
      </c>
      <c r="P823" t="str">
        <f>_xlfn.XLOOKUP(Table1[[#This Row],[Customer ID]],customers!$A$1:$A$1001,customers!$I$1:$I$1001,,0)</f>
        <v>No</v>
      </c>
    </row>
    <row r="824" spans="1:16" x14ac:dyDescent="0.2">
      <c r="A824" s="2" t="s">
        <v>5135</v>
      </c>
      <c r="B824" s="3">
        <v>43585</v>
      </c>
      <c r="C824" s="2" t="s">
        <v>5136</v>
      </c>
      <c r="D824" t="s">
        <v>6148</v>
      </c>
      <c r="E824" s="2">
        <v>4</v>
      </c>
      <c r="F824" s="2" t="str">
        <f>_xlfn.XLOOKUP(C824,customers!$A823:$A1823,customers!$B823:$B1823,,0)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5">
        <f>INDEX(products!$A$1:$G$49,MATCH(orders!$D824,products!$A$1:$A$49,0),MATCH(orders!K$1,products!$A$1:$G$1,0))</f>
        <v>2.5</v>
      </c>
      <c r="L824" s="7">
        <f>INDEX(products!$A$1:$G$49,MATCH(orders!$D824,products!$A$1:$A$49,0),MATCH(orders!L$1,products!$A$1:$G$1,0))</f>
        <v>34.154999999999994</v>
      </c>
      <c r="M824" s="7">
        <f t="shared" si="36"/>
        <v>136.61999999999998</v>
      </c>
      <c r="N824" t="str">
        <f t="shared" si="37"/>
        <v>Excelsa</v>
      </c>
      <c r="O824" t="str">
        <f t="shared" si="38"/>
        <v>Light</v>
      </c>
      <c r="P824" t="str">
        <f>_xlfn.XLOOKUP(Table1[[#This Row],[Customer ID]],customers!$A$1:$A$1001,customers!$I$1:$I$1001,,0)</f>
        <v>No</v>
      </c>
    </row>
    <row r="825" spans="1:16" x14ac:dyDescent="0.2">
      <c r="A825" s="2" t="s">
        <v>5141</v>
      </c>
      <c r="B825" s="3">
        <v>44134</v>
      </c>
      <c r="C825" s="2" t="s">
        <v>5142</v>
      </c>
      <c r="D825" t="s">
        <v>6170</v>
      </c>
      <c r="E825" s="2">
        <v>3</v>
      </c>
      <c r="F825" s="2" t="str">
        <f>_xlfn.XLOOKUP(C825,customers!$A824:$A1824,customers!$B824:$B1824,,0)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5">
        <f>INDEX(products!$A$1:$G$49,MATCH(orders!$D825,products!$A$1:$A$49,0),MATCH(orders!K$1,products!$A$1:$G$1,0))</f>
        <v>1</v>
      </c>
      <c r="L825" s="7">
        <f>INDEX(products!$A$1:$G$49,MATCH(orders!$D825,products!$A$1:$A$49,0),MATCH(orders!L$1,products!$A$1:$G$1,0))</f>
        <v>15.85</v>
      </c>
      <c r="M825" s="7">
        <f t="shared" si="36"/>
        <v>47.55</v>
      </c>
      <c r="N825" t="str">
        <f t="shared" si="37"/>
        <v>Liberica</v>
      </c>
      <c r="O825" t="str">
        <f t="shared" si="38"/>
        <v>Light</v>
      </c>
      <c r="P825" t="str">
        <f>_xlfn.XLOOKUP(Table1[[#This Row],[Customer ID]],customers!$A$1:$A$1001,customers!$I$1:$I$1001,,0)</f>
        <v>Yes</v>
      </c>
    </row>
    <row r="826" spans="1:16" x14ac:dyDescent="0.2">
      <c r="A826" s="2" t="s">
        <v>5147</v>
      </c>
      <c r="B826" s="3">
        <v>43781</v>
      </c>
      <c r="C826" s="2" t="s">
        <v>5148</v>
      </c>
      <c r="D826" t="s">
        <v>6152</v>
      </c>
      <c r="E826" s="2">
        <v>5</v>
      </c>
      <c r="F826" s="2" t="str">
        <f>_xlfn.XLOOKUP(C826,customers!$A825:$A1825,customers!$B825:$B1825,,0)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5">
        <f>INDEX(products!$A$1:$G$49,MATCH(orders!$D826,products!$A$1:$A$49,0),MATCH(orders!K$1,products!$A$1:$G$1,0))</f>
        <v>0.2</v>
      </c>
      <c r="L826" s="7">
        <f>INDEX(products!$A$1:$G$49,MATCH(orders!$D826,products!$A$1:$A$49,0),MATCH(orders!L$1,products!$A$1:$G$1,0))</f>
        <v>3.375</v>
      </c>
      <c r="M826" s="7">
        <f t="shared" si="36"/>
        <v>16.875</v>
      </c>
      <c r="N826" t="str">
        <f t="shared" si="37"/>
        <v>Arabica</v>
      </c>
      <c r="O826" t="str">
        <f t="shared" si="38"/>
        <v>Medium</v>
      </c>
      <c r="P826" t="str">
        <f>_xlfn.XLOOKUP(Table1[[#This Row],[Customer ID]],customers!$A$1:$A$1001,customers!$I$1:$I$1001,,0)</f>
        <v>Yes</v>
      </c>
    </row>
    <row r="827" spans="1:16" x14ac:dyDescent="0.2">
      <c r="A827" s="2" t="s">
        <v>5152</v>
      </c>
      <c r="B827" s="3">
        <v>44603</v>
      </c>
      <c r="C827" s="2" t="s">
        <v>5188</v>
      </c>
      <c r="D827" t="s">
        <v>6147</v>
      </c>
      <c r="E827" s="2">
        <v>3</v>
      </c>
      <c r="F827" s="2" t="str">
        <f>_xlfn.XLOOKUP(C827,customers!$A826:$A1826,customers!$B826:$B1826,,0)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5">
        <f>INDEX(products!$A$1:$G$49,MATCH(orders!$D827,products!$A$1:$A$49,0),MATCH(orders!K$1,products!$A$1:$G$1,0))</f>
        <v>1</v>
      </c>
      <c r="L827" s="7">
        <f>INDEX(products!$A$1:$G$49,MATCH(orders!$D827,products!$A$1:$A$49,0),MATCH(orders!L$1,products!$A$1:$G$1,0))</f>
        <v>9.9499999999999993</v>
      </c>
      <c r="M827" s="7">
        <f t="shared" si="36"/>
        <v>29.849999999999998</v>
      </c>
      <c r="N827" t="str">
        <f t="shared" si="37"/>
        <v>Arabica</v>
      </c>
      <c r="O827" t="str">
        <f t="shared" si="38"/>
        <v>Dark</v>
      </c>
      <c r="P827" t="str">
        <f>_xlfn.XLOOKUP(Table1[[#This Row],[Customer ID]],customers!$A$1:$A$1001,customers!$I$1:$I$1001,,0)</f>
        <v>Yes</v>
      </c>
    </row>
    <row r="828" spans="1:16" x14ac:dyDescent="0.2">
      <c r="A828" s="2" t="s">
        <v>5158</v>
      </c>
      <c r="B828" s="3">
        <v>44283</v>
      </c>
      <c r="C828" s="2" t="s">
        <v>5159</v>
      </c>
      <c r="D828" t="s">
        <v>6139</v>
      </c>
      <c r="E828" s="2">
        <v>5</v>
      </c>
      <c r="F828" s="2" t="str">
        <f>_xlfn.XLOOKUP(C828,customers!$A827:$A1827,customers!$B827:$B1827,,0)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5">
        <f>INDEX(products!$A$1:$G$49,MATCH(orders!$D828,products!$A$1:$A$49,0),MATCH(orders!K$1,products!$A$1:$G$1,0))</f>
        <v>0.5</v>
      </c>
      <c r="L828" s="7">
        <f>INDEX(products!$A$1:$G$49,MATCH(orders!$D828,products!$A$1:$A$49,0),MATCH(orders!L$1,products!$A$1:$G$1,0))</f>
        <v>8.25</v>
      </c>
      <c r="M828" s="7">
        <f t="shared" si="36"/>
        <v>41.25</v>
      </c>
      <c r="N828" t="str">
        <f t="shared" si="37"/>
        <v>Excelsa</v>
      </c>
      <c r="O828" t="str">
        <f t="shared" si="38"/>
        <v>Medium</v>
      </c>
      <c r="P828" t="str">
        <f>_xlfn.XLOOKUP(Table1[[#This Row],[Customer ID]],customers!$A$1:$A$1001,customers!$I$1:$I$1001,,0)</f>
        <v>Yes</v>
      </c>
    </row>
    <row r="829" spans="1:16" x14ac:dyDescent="0.2">
      <c r="A829" s="2" t="s">
        <v>5164</v>
      </c>
      <c r="B829" s="3">
        <v>44540</v>
      </c>
      <c r="C829" s="2" t="s">
        <v>5165</v>
      </c>
      <c r="D829" t="s">
        <v>6156</v>
      </c>
      <c r="E829" s="2">
        <v>5</v>
      </c>
      <c r="F829" s="2" t="str">
        <f>_xlfn.XLOOKUP(C829,customers!$A828:$A1828,customers!$B828:$B1828,,0)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5">
        <f>INDEX(products!$A$1:$G$49,MATCH(orders!$D829,products!$A$1:$A$49,0),MATCH(orders!K$1,products!$A$1:$G$1,0))</f>
        <v>0.2</v>
      </c>
      <c r="L829" s="7">
        <f>INDEX(products!$A$1:$G$49,MATCH(orders!$D829,products!$A$1:$A$49,0),MATCH(orders!L$1,products!$A$1:$G$1,0))</f>
        <v>4.125</v>
      </c>
      <c r="M829" s="7">
        <f t="shared" si="36"/>
        <v>20.625</v>
      </c>
      <c r="N829" t="str">
        <f t="shared" si="37"/>
        <v>Excelsa</v>
      </c>
      <c r="O829" t="str">
        <f t="shared" si="38"/>
        <v>Medium</v>
      </c>
      <c r="P829" t="str">
        <f>_xlfn.XLOOKUP(Table1[[#This Row],[Customer ID]],customers!$A$1:$A$1001,customers!$I$1:$I$1001,,0)</f>
        <v>No</v>
      </c>
    </row>
    <row r="830" spans="1:16" x14ac:dyDescent="0.2">
      <c r="A830" s="2" t="s">
        <v>5170</v>
      </c>
      <c r="B830" s="3">
        <v>44505</v>
      </c>
      <c r="C830" s="2" t="s">
        <v>5171</v>
      </c>
      <c r="D830" t="s">
        <v>6168</v>
      </c>
      <c r="E830" s="2">
        <v>6</v>
      </c>
      <c r="F830" s="2" t="str">
        <f>_xlfn.XLOOKUP(C830,customers!$A829:$A1829,customers!$B829:$B1829,,0)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5">
        <f>INDEX(products!$A$1:$G$49,MATCH(orders!$D830,products!$A$1:$A$49,0),MATCH(orders!K$1,products!$A$1:$G$1,0))</f>
        <v>2.5</v>
      </c>
      <c r="L830" s="7">
        <f>INDEX(products!$A$1:$G$49,MATCH(orders!$D830,products!$A$1:$A$49,0),MATCH(orders!L$1,products!$A$1:$G$1,0))</f>
        <v>22.884999999999998</v>
      </c>
      <c r="M830" s="7">
        <f t="shared" si="36"/>
        <v>137.31</v>
      </c>
      <c r="N830" t="str">
        <f t="shared" si="37"/>
        <v>Arabica</v>
      </c>
      <c r="O830" t="str">
        <f t="shared" si="38"/>
        <v>Dark</v>
      </c>
      <c r="P830" t="str">
        <f>_xlfn.XLOOKUP(Table1[[#This Row],[Customer ID]],customers!$A$1:$A$1001,customers!$I$1:$I$1001,,0)</f>
        <v>Yes</v>
      </c>
    </row>
    <row r="831" spans="1:16" x14ac:dyDescent="0.2">
      <c r="A831" s="2" t="s">
        <v>5176</v>
      </c>
      <c r="B831" s="3">
        <v>43890</v>
      </c>
      <c r="C831" s="2" t="s">
        <v>5177</v>
      </c>
      <c r="D831" t="s">
        <v>6154</v>
      </c>
      <c r="E831" s="2">
        <v>1</v>
      </c>
      <c r="F831" s="2" t="str">
        <f>_xlfn.XLOOKUP(C831,customers!$A830:$A1830,customers!$B830:$B1830,,0)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5">
        <f>INDEX(products!$A$1:$G$49,MATCH(orders!$D831,products!$A$1:$A$49,0),MATCH(orders!K$1,products!$A$1:$G$1,0))</f>
        <v>0.2</v>
      </c>
      <c r="L831" s="7">
        <f>INDEX(products!$A$1:$G$49,MATCH(orders!$D831,products!$A$1:$A$49,0),MATCH(orders!L$1,products!$A$1:$G$1,0))</f>
        <v>2.9849999999999999</v>
      </c>
      <c r="M831" s="7">
        <f t="shared" si="36"/>
        <v>2.9849999999999999</v>
      </c>
      <c r="N831" t="str">
        <f t="shared" si="37"/>
        <v>Arabica</v>
      </c>
      <c r="O831" t="str">
        <f t="shared" si="38"/>
        <v>Dark</v>
      </c>
      <c r="P831" t="str">
        <f>_xlfn.XLOOKUP(Table1[[#This Row],[Customer ID]],customers!$A$1:$A$1001,customers!$I$1:$I$1001,,0)</f>
        <v>No</v>
      </c>
    </row>
    <row r="832" spans="1:16" x14ac:dyDescent="0.2">
      <c r="A832" s="2" t="s">
        <v>5182</v>
      </c>
      <c r="B832" s="3">
        <v>44414</v>
      </c>
      <c r="C832" s="2" t="s">
        <v>5183</v>
      </c>
      <c r="D832" t="s">
        <v>6141</v>
      </c>
      <c r="E832" s="2">
        <v>2</v>
      </c>
      <c r="F832" s="2" t="str">
        <f>_xlfn.XLOOKUP(C832,customers!$A831:$A1831,customers!$B831:$B1831,,0)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5">
        <f>INDEX(products!$A$1:$G$49,MATCH(orders!$D832,products!$A$1:$A$49,0),MATCH(orders!K$1,products!$A$1:$G$1,0))</f>
        <v>1</v>
      </c>
      <c r="L832" s="7">
        <f>INDEX(products!$A$1:$G$49,MATCH(orders!$D832,products!$A$1:$A$49,0),MATCH(orders!L$1,products!$A$1:$G$1,0))</f>
        <v>13.75</v>
      </c>
      <c r="M832" s="7">
        <f t="shared" si="36"/>
        <v>27.5</v>
      </c>
      <c r="N832" t="str">
        <f t="shared" si="37"/>
        <v>Excelsa</v>
      </c>
      <c r="O832" t="str">
        <f t="shared" si="38"/>
        <v>Medium</v>
      </c>
      <c r="P832" t="str">
        <f>_xlfn.XLOOKUP(Table1[[#This Row],[Customer ID]],customers!$A$1:$A$1001,customers!$I$1:$I$1001,,0)</f>
        <v>No</v>
      </c>
    </row>
    <row r="833" spans="1:16" x14ac:dyDescent="0.2">
      <c r="A833" s="2" t="s">
        <v>5182</v>
      </c>
      <c r="B833" s="3">
        <v>44414</v>
      </c>
      <c r="C833" s="2" t="s">
        <v>5183</v>
      </c>
      <c r="D833" t="s">
        <v>6154</v>
      </c>
      <c r="E833" s="2">
        <v>2</v>
      </c>
      <c r="F833" s="2" t="str">
        <f>_xlfn.XLOOKUP(C833,customers!$A832:$A1832,customers!$B832:$B1832,,0)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5">
        <f>INDEX(products!$A$1:$G$49,MATCH(orders!$D833,products!$A$1:$A$49,0),MATCH(orders!K$1,products!$A$1:$G$1,0))</f>
        <v>0.2</v>
      </c>
      <c r="L833" s="7">
        <f>INDEX(products!$A$1:$G$49,MATCH(orders!$D833,products!$A$1:$A$49,0),MATCH(orders!L$1,products!$A$1:$G$1,0))</f>
        <v>2.9849999999999999</v>
      </c>
      <c r="M833" s="7">
        <f t="shared" si="36"/>
        <v>5.97</v>
      </c>
      <c r="N833" t="str">
        <f t="shared" si="37"/>
        <v>Arabica</v>
      </c>
      <c r="O833" t="str">
        <f t="shared" si="38"/>
        <v>Dark</v>
      </c>
      <c r="P833" t="str">
        <f>_xlfn.XLOOKUP(Table1[[#This Row],[Customer ID]],customers!$A$1:$A$1001,customers!$I$1:$I$1001,,0)</f>
        <v>No</v>
      </c>
    </row>
    <row r="834" spans="1:16" x14ac:dyDescent="0.2">
      <c r="A834" s="2" t="s">
        <v>5193</v>
      </c>
      <c r="B834" s="3">
        <v>44274</v>
      </c>
      <c r="C834" s="2" t="s">
        <v>5194</v>
      </c>
      <c r="D834" t="s">
        <v>6138</v>
      </c>
      <c r="E834" s="2">
        <v>6</v>
      </c>
      <c r="F834" s="2" t="str">
        <f>_xlfn.XLOOKUP(C834,customers!$A833:$A1833,customers!$B833:$B1833,,0)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5">
        <f>INDEX(products!$A$1:$G$49,MATCH(orders!$D834,products!$A$1:$A$49,0),MATCH(orders!K$1,products!$A$1:$G$1,0))</f>
        <v>1</v>
      </c>
      <c r="L834" s="7">
        <f>INDEX(products!$A$1:$G$49,MATCH(orders!$D834,products!$A$1:$A$49,0),MATCH(orders!L$1,products!$A$1:$G$1,0))</f>
        <v>9.9499999999999993</v>
      </c>
      <c r="M834" s="7">
        <f t="shared" si="36"/>
        <v>59.699999999999996</v>
      </c>
      <c r="N834" t="str">
        <f t="shared" si="37"/>
        <v>Robusta</v>
      </c>
      <c r="O834" t="str">
        <f t="shared" si="38"/>
        <v>Medium</v>
      </c>
      <c r="P834" t="str">
        <f>_xlfn.XLOOKUP(Table1[[#This Row],[Customer ID]],customers!$A$1:$A$1001,customers!$I$1:$I$1001,,0)</f>
        <v>No</v>
      </c>
    </row>
    <row r="835" spans="1:16" x14ac:dyDescent="0.2">
      <c r="A835" s="2" t="s">
        <v>5199</v>
      </c>
      <c r="B835" s="3">
        <v>44302</v>
      </c>
      <c r="C835" s="2" t="s">
        <v>5200</v>
      </c>
      <c r="D835" t="s">
        <v>6149</v>
      </c>
      <c r="E835" s="2">
        <v>4</v>
      </c>
      <c r="F835" s="2" t="str">
        <f>_xlfn.XLOOKUP(C835,customers!$A834:$A1834,customers!$B834:$B1834,,0)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5">
        <f>INDEX(products!$A$1:$G$49,MATCH(orders!$D835,products!$A$1:$A$49,0),MATCH(orders!K$1,products!$A$1:$G$1,0))</f>
        <v>2.5</v>
      </c>
      <c r="L835" s="7">
        <f>INDEX(products!$A$1:$G$49,MATCH(orders!$D835,products!$A$1:$A$49,0),MATCH(orders!L$1,products!$A$1:$G$1,0))</f>
        <v>20.584999999999997</v>
      </c>
      <c r="M835" s="7">
        <f t="shared" ref="M835:M898" si="39">L835*E835</f>
        <v>82.339999999999989</v>
      </c>
      <c r="N835" t="str">
        <f t="shared" ref="N835:N898" si="40">IF(I835="Rob","Robusta",IF(I835="Ara","Arabica",IF(I835="Exc","Excelsa",IF(I835="Lib","Liberica",""))))</f>
        <v>Robusta</v>
      </c>
      <c r="O835" t="str">
        <f t="shared" ref="O835:O898" si="41">IF(J835="M","Medium",IF(J835="L","Light",IF(J835="D","Dark","")))</f>
        <v>Dark</v>
      </c>
      <c r="P835" t="str">
        <f>_xlfn.XLOOKUP(Table1[[#This Row],[Customer ID]],customers!$A$1:$A$1001,customers!$I$1:$I$1001,,0)</f>
        <v>Yes</v>
      </c>
    </row>
    <row r="836" spans="1:16" x14ac:dyDescent="0.2">
      <c r="A836" s="2" t="s">
        <v>5205</v>
      </c>
      <c r="B836" s="3">
        <v>44141</v>
      </c>
      <c r="C836" s="2" t="s">
        <v>5206</v>
      </c>
      <c r="D836" t="s">
        <v>6168</v>
      </c>
      <c r="E836" s="2">
        <v>1</v>
      </c>
      <c r="F836" s="2" t="str">
        <f>_xlfn.XLOOKUP(C836,customers!$A835:$A1835,customers!$B835:$B1835,,0)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5">
        <f>INDEX(products!$A$1:$G$49,MATCH(orders!$D836,products!$A$1:$A$49,0),MATCH(orders!K$1,products!$A$1:$G$1,0))</f>
        <v>2.5</v>
      </c>
      <c r="L836" s="7">
        <f>INDEX(products!$A$1:$G$49,MATCH(orders!$D836,products!$A$1:$A$49,0),MATCH(orders!L$1,products!$A$1:$G$1,0))</f>
        <v>22.884999999999998</v>
      </c>
      <c r="M836" s="7">
        <f t="shared" si="39"/>
        <v>22.884999999999998</v>
      </c>
      <c r="N836" t="str">
        <f t="shared" si="40"/>
        <v>Arabica</v>
      </c>
      <c r="O836" t="str">
        <f t="shared" si="41"/>
        <v>Dark</v>
      </c>
      <c r="P836" t="str">
        <f>_xlfn.XLOOKUP(Table1[[#This Row],[Customer ID]],customers!$A$1:$A$1001,customers!$I$1:$I$1001,,0)</f>
        <v>No</v>
      </c>
    </row>
    <row r="837" spans="1:16" x14ac:dyDescent="0.2">
      <c r="A837" s="2" t="s">
        <v>5211</v>
      </c>
      <c r="B837" s="3">
        <v>44270</v>
      </c>
      <c r="C837" s="2" t="s">
        <v>5212</v>
      </c>
      <c r="D837" t="s">
        <v>6176</v>
      </c>
      <c r="E837" s="2">
        <v>1</v>
      </c>
      <c r="F837" s="2" t="str">
        <f>_xlfn.XLOOKUP(C837,customers!$A836:$A1836,customers!$B836:$B1836,,0)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5">
        <f>INDEX(products!$A$1:$G$49,MATCH(orders!$D837,products!$A$1:$A$49,0),MATCH(orders!K$1,products!$A$1:$G$1,0))</f>
        <v>0.5</v>
      </c>
      <c r="L837" s="7">
        <f>INDEX(products!$A$1:$G$49,MATCH(orders!$D837,products!$A$1:$A$49,0),MATCH(orders!L$1,products!$A$1:$G$1,0))</f>
        <v>8.91</v>
      </c>
      <c r="M837" s="7">
        <f t="shared" si="39"/>
        <v>8.91</v>
      </c>
      <c r="N837" t="str">
        <f t="shared" si="40"/>
        <v>Excelsa</v>
      </c>
      <c r="O837" t="str">
        <f t="shared" si="41"/>
        <v>Light</v>
      </c>
      <c r="P837" t="str">
        <f>_xlfn.XLOOKUP(Table1[[#This Row],[Customer ID]],customers!$A$1:$A$1001,customers!$I$1:$I$1001,,0)</f>
        <v>Yes</v>
      </c>
    </row>
    <row r="838" spans="1:16" x14ac:dyDescent="0.2">
      <c r="A838" s="2" t="s">
        <v>5216</v>
      </c>
      <c r="B838" s="3">
        <v>44486</v>
      </c>
      <c r="C838" s="2" t="s">
        <v>5217</v>
      </c>
      <c r="D838" t="s">
        <v>6154</v>
      </c>
      <c r="E838" s="2">
        <v>4</v>
      </c>
      <c r="F838" s="2" t="str">
        <f>_xlfn.XLOOKUP(C838,customers!$A837:$A1837,customers!$B837:$B1837,,0)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5">
        <f>INDEX(products!$A$1:$G$49,MATCH(orders!$D838,products!$A$1:$A$49,0),MATCH(orders!K$1,products!$A$1:$G$1,0))</f>
        <v>0.2</v>
      </c>
      <c r="L838" s="7">
        <f>INDEX(products!$A$1:$G$49,MATCH(orders!$D838,products!$A$1:$A$49,0),MATCH(orders!L$1,products!$A$1:$G$1,0))</f>
        <v>2.9849999999999999</v>
      </c>
      <c r="M838" s="7">
        <f t="shared" si="39"/>
        <v>11.94</v>
      </c>
      <c r="N838" t="str">
        <f t="shared" si="40"/>
        <v>Arabica</v>
      </c>
      <c r="O838" t="str">
        <f t="shared" si="41"/>
        <v>Dark</v>
      </c>
      <c r="P838" t="str">
        <f>_xlfn.XLOOKUP(Table1[[#This Row],[Customer ID]],customers!$A$1:$A$1001,customers!$I$1:$I$1001,,0)</f>
        <v>No</v>
      </c>
    </row>
    <row r="839" spans="1:16" x14ac:dyDescent="0.2">
      <c r="A839" s="2" t="s">
        <v>5222</v>
      </c>
      <c r="B839" s="3">
        <v>43715</v>
      </c>
      <c r="C839" s="2" t="s">
        <v>5113</v>
      </c>
      <c r="D839" t="s">
        <v>6181</v>
      </c>
      <c r="E839" s="2">
        <v>3</v>
      </c>
      <c r="F839" s="2" t="e">
        <f>_xlfn.XLOOKUP(C839,customers!$A838:$A1838,customers!$B838:$B1838,,0)</f>
        <v>#N/A</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5">
        <f>INDEX(products!$A$1:$G$49,MATCH(orders!$D839,products!$A$1:$A$49,0),MATCH(orders!K$1,products!$A$1:$G$1,0))</f>
        <v>2.5</v>
      </c>
      <c r="L839" s="7">
        <f>INDEX(products!$A$1:$G$49,MATCH(orders!$D839,products!$A$1:$A$49,0),MATCH(orders!L$1,products!$A$1:$G$1,0))</f>
        <v>33.464999999999996</v>
      </c>
      <c r="M839" s="7">
        <f t="shared" si="39"/>
        <v>100.39499999999998</v>
      </c>
      <c r="N839" t="str">
        <f t="shared" si="40"/>
        <v>Liberica</v>
      </c>
      <c r="O839" t="str">
        <f t="shared" si="41"/>
        <v>Medium</v>
      </c>
      <c r="P839" t="str">
        <f>_xlfn.XLOOKUP(Table1[[#This Row],[Customer ID]],customers!$A$1:$A$1001,customers!$I$1:$I$1001,,0)</f>
        <v>No</v>
      </c>
    </row>
    <row r="840" spans="1:16" x14ac:dyDescent="0.2">
      <c r="A840" s="2" t="s">
        <v>5228</v>
      </c>
      <c r="B840" s="3">
        <v>44755</v>
      </c>
      <c r="C840" s="2" t="s">
        <v>5229</v>
      </c>
      <c r="D840" t="s">
        <v>6168</v>
      </c>
      <c r="E840" s="2">
        <v>5</v>
      </c>
      <c r="F840" s="2" t="str">
        <f>_xlfn.XLOOKUP(C840,customers!$A839:$A1839,customers!$B839:$B1839,,0)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5">
        <f>INDEX(products!$A$1:$G$49,MATCH(orders!$D840,products!$A$1:$A$49,0),MATCH(orders!K$1,products!$A$1:$G$1,0))</f>
        <v>2.5</v>
      </c>
      <c r="L840" s="7">
        <f>INDEX(products!$A$1:$G$49,MATCH(orders!$D840,products!$A$1:$A$49,0),MATCH(orders!L$1,products!$A$1:$G$1,0))</f>
        <v>22.884999999999998</v>
      </c>
      <c r="M840" s="7">
        <f t="shared" si="39"/>
        <v>114.42499999999998</v>
      </c>
      <c r="N840" t="str">
        <f t="shared" si="40"/>
        <v>Arabica</v>
      </c>
      <c r="O840" t="str">
        <f t="shared" si="41"/>
        <v>Dark</v>
      </c>
      <c r="P840" t="str">
        <f>_xlfn.XLOOKUP(Table1[[#This Row],[Customer ID]],customers!$A$1:$A$1001,customers!$I$1:$I$1001,,0)</f>
        <v>No</v>
      </c>
    </row>
    <row r="841" spans="1:16" x14ac:dyDescent="0.2">
      <c r="A841" s="2" t="s">
        <v>5234</v>
      </c>
      <c r="B841" s="3">
        <v>44521</v>
      </c>
      <c r="C841" s="2" t="s">
        <v>5235</v>
      </c>
      <c r="D841" t="s">
        <v>6139</v>
      </c>
      <c r="E841" s="2">
        <v>5</v>
      </c>
      <c r="F841" s="2" t="str">
        <f>_xlfn.XLOOKUP(C841,customers!$A840:$A1840,customers!$B840:$B1840,,0)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5">
        <f>INDEX(products!$A$1:$G$49,MATCH(orders!$D841,products!$A$1:$A$49,0),MATCH(orders!K$1,products!$A$1:$G$1,0))</f>
        <v>0.5</v>
      </c>
      <c r="L841" s="7">
        <f>INDEX(products!$A$1:$G$49,MATCH(orders!$D841,products!$A$1:$A$49,0),MATCH(orders!L$1,products!$A$1:$G$1,0))</f>
        <v>8.25</v>
      </c>
      <c r="M841" s="7">
        <f t="shared" si="39"/>
        <v>41.25</v>
      </c>
      <c r="N841" t="str">
        <f t="shared" si="40"/>
        <v>Excelsa</v>
      </c>
      <c r="O841" t="str">
        <f t="shared" si="41"/>
        <v>Medium</v>
      </c>
      <c r="P841" t="str">
        <f>_xlfn.XLOOKUP(Table1[[#This Row],[Customer ID]],customers!$A$1:$A$1001,customers!$I$1:$I$1001,,0)</f>
        <v>No</v>
      </c>
    </row>
    <row r="842" spans="1:16" x14ac:dyDescent="0.2">
      <c r="A842" s="2" t="s">
        <v>5240</v>
      </c>
      <c r="B842" s="3">
        <v>44574</v>
      </c>
      <c r="C842" s="2" t="s">
        <v>5241</v>
      </c>
      <c r="D842" t="s">
        <v>6173</v>
      </c>
      <c r="E842" s="2">
        <v>4</v>
      </c>
      <c r="F842" s="2" t="str">
        <f>_xlfn.XLOOKUP(C842,customers!$A841:$A1841,customers!$B841:$B1841,,0)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5">
        <f>INDEX(products!$A$1:$G$49,MATCH(orders!$D842,products!$A$1:$A$49,0),MATCH(orders!K$1,products!$A$1:$G$1,0))</f>
        <v>0.5</v>
      </c>
      <c r="L842" s="7">
        <f>INDEX(products!$A$1:$G$49,MATCH(orders!$D842,products!$A$1:$A$49,0),MATCH(orders!L$1,products!$A$1:$G$1,0))</f>
        <v>7.169999999999999</v>
      </c>
      <c r="M842" s="7">
        <f t="shared" si="39"/>
        <v>28.679999999999996</v>
      </c>
      <c r="N842" t="str">
        <f t="shared" si="40"/>
        <v>Robusta</v>
      </c>
      <c r="O842" t="str">
        <f t="shared" si="41"/>
        <v>Light</v>
      </c>
      <c r="P842" t="str">
        <f>_xlfn.XLOOKUP(Table1[[#This Row],[Customer ID]],customers!$A$1:$A$1001,customers!$I$1:$I$1001,,0)</f>
        <v>Yes</v>
      </c>
    </row>
    <row r="843" spans="1:16" x14ac:dyDescent="0.2">
      <c r="A843" s="2" t="s">
        <v>5246</v>
      </c>
      <c r="B843" s="3">
        <v>44755</v>
      </c>
      <c r="C843" s="2" t="s">
        <v>5247</v>
      </c>
      <c r="D843" t="s">
        <v>6159</v>
      </c>
      <c r="E843" s="2">
        <v>1</v>
      </c>
      <c r="F843" s="2" t="str">
        <f>_xlfn.XLOOKUP(C843,customers!$A842:$A1842,customers!$B842:$B1842,,0)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5">
        <f>INDEX(products!$A$1:$G$49,MATCH(orders!$D843,products!$A$1:$A$49,0),MATCH(orders!K$1,products!$A$1:$G$1,0))</f>
        <v>0.2</v>
      </c>
      <c r="L843" s="7">
        <f>INDEX(products!$A$1:$G$49,MATCH(orders!$D843,products!$A$1:$A$49,0),MATCH(orders!L$1,products!$A$1:$G$1,0))</f>
        <v>4.3650000000000002</v>
      </c>
      <c r="M843" s="7">
        <f t="shared" si="39"/>
        <v>4.3650000000000002</v>
      </c>
      <c r="N843" t="str">
        <f t="shared" si="40"/>
        <v>Liberica</v>
      </c>
      <c r="O843" t="str">
        <f t="shared" si="41"/>
        <v>Medium</v>
      </c>
      <c r="P843" t="str">
        <f>_xlfn.XLOOKUP(Table1[[#This Row],[Customer ID]],customers!$A$1:$A$1001,customers!$I$1:$I$1001,,0)</f>
        <v>No</v>
      </c>
    </row>
    <row r="844" spans="1:16" x14ac:dyDescent="0.2">
      <c r="A844" s="2" t="s">
        <v>5251</v>
      </c>
      <c r="B844" s="3">
        <v>44502</v>
      </c>
      <c r="C844" s="2" t="s">
        <v>5188</v>
      </c>
      <c r="D844" t="s">
        <v>6156</v>
      </c>
      <c r="E844" s="2">
        <v>2</v>
      </c>
      <c r="F844" s="2" t="e">
        <f>_xlfn.XLOOKUP(C844,customers!$A843:$A1843,customers!$B843:$B1843,,0)</f>
        <v>#N/A</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5">
        <f>INDEX(products!$A$1:$G$49,MATCH(orders!$D844,products!$A$1:$A$49,0),MATCH(orders!K$1,products!$A$1:$G$1,0))</f>
        <v>0.2</v>
      </c>
      <c r="L844" s="7">
        <f>INDEX(products!$A$1:$G$49,MATCH(orders!$D844,products!$A$1:$A$49,0),MATCH(orders!L$1,products!$A$1:$G$1,0))</f>
        <v>4.125</v>
      </c>
      <c r="M844" s="7">
        <f t="shared" si="39"/>
        <v>8.25</v>
      </c>
      <c r="N844" t="str">
        <f t="shared" si="40"/>
        <v>Excelsa</v>
      </c>
      <c r="O844" t="str">
        <f t="shared" si="41"/>
        <v>Medium</v>
      </c>
      <c r="P844" t="str">
        <f>_xlfn.XLOOKUP(Table1[[#This Row],[Customer ID]],customers!$A$1:$A$1001,customers!$I$1:$I$1001,,0)</f>
        <v>Yes</v>
      </c>
    </row>
    <row r="845" spans="1:16" x14ac:dyDescent="0.2">
      <c r="A845" s="2" t="s">
        <v>5256</v>
      </c>
      <c r="B845" s="3">
        <v>44387</v>
      </c>
      <c r="C845" s="2" t="s">
        <v>5257</v>
      </c>
      <c r="D845" t="s">
        <v>6156</v>
      </c>
      <c r="E845" s="2">
        <v>2</v>
      </c>
      <c r="F845" s="2" t="str">
        <f>_xlfn.XLOOKUP(C845,customers!$A844:$A1844,customers!$B844:$B1844,,0)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5">
        <f>INDEX(products!$A$1:$G$49,MATCH(orders!$D845,products!$A$1:$A$49,0),MATCH(orders!K$1,products!$A$1:$G$1,0))</f>
        <v>0.2</v>
      </c>
      <c r="L845" s="7">
        <f>INDEX(products!$A$1:$G$49,MATCH(orders!$D845,products!$A$1:$A$49,0),MATCH(orders!L$1,products!$A$1:$G$1,0))</f>
        <v>4.125</v>
      </c>
      <c r="M845" s="7">
        <f t="shared" si="39"/>
        <v>8.25</v>
      </c>
      <c r="N845" t="str">
        <f t="shared" si="40"/>
        <v>Excelsa</v>
      </c>
      <c r="O845" t="str">
        <f t="shared" si="41"/>
        <v>Medium</v>
      </c>
      <c r="P845" t="str">
        <f>_xlfn.XLOOKUP(Table1[[#This Row],[Customer ID]],customers!$A$1:$A$1001,customers!$I$1:$I$1001,,0)</f>
        <v>Yes</v>
      </c>
    </row>
    <row r="846" spans="1:16" x14ac:dyDescent="0.2">
      <c r="A846" s="2" t="s">
        <v>5262</v>
      </c>
      <c r="B846" s="3">
        <v>44476</v>
      </c>
      <c r="C846" s="2" t="s">
        <v>5263</v>
      </c>
      <c r="D846" t="s">
        <v>6158</v>
      </c>
      <c r="E846" s="2">
        <v>6</v>
      </c>
      <c r="F846" s="2" t="str">
        <f>_xlfn.XLOOKUP(C846,customers!$A845:$A1845,customers!$B845:$B1845,,0)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5">
        <f>INDEX(products!$A$1:$G$49,MATCH(orders!$D846,products!$A$1:$A$49,0),MATCH(orders!K$1,products!$A$1:$G$1,0))</f>
        <v>0.5</v>
      </c>
      <c r="L846" s="7">
        <f>INDEX(products!$A$1:$G$49,MATCH(orders!$D846,products!$A$1:$A$49,0),MATCH(orders!L$1,products!$A$1:$G$1,0))</f>
        <v>5.97</v>
      </c>
      <c r="M846" s="7">
        <f t="shared" si="39"/>
        <v>35.82</v>
      </c>
      <c r="N846" t="str">
        <f t="shared" si="40"/>
        <v>Arabica</v>
      </c>
      <c r="O846" t="str">
        <f t="shared" si="41"/>
        <v>Dark</v>
      </c>
      <c r="P846" t="str">
        <f>_xlfn.XLOOKUP(Table1[[#This Row],[Customer ID]],customers!$A$1:$A$1001,customers!$I$1:$I$1001,,0)</f>
        <v>Yes</v>
      </c>
    </row>
    <row r="847" spans="1:16" x14ac:dyDescent="0.2">
      <c r="A847" s="2" t="s">
        <v>5268</v>
      </c>
      <c r="B847" s="3">
        <v>43889</v>
      </c>
      <c r="C847" s="2" t="s">
        <v>5269</v>
      </c>
      <c r="D847" t="s">
        <v>6185</v>
      </c>
      <c r="E847" s="2">
        <v>6</v>
      </c>
      <c r="F847" s="2" t="str">
        <f>_xlfn.XLOOKUP(C847,customers!$A846:$A1846,customers!$B846:$B1846,,0)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5">
        <f>INDEX(products!$A$1:$G$49,MATCH(orders!$D847,products!$A$1:$A$49,0),MATCH(orders!K$1,products!$A$1:$G$1,0))</f>
        <v>2.5</v>
      </c>
      <c r="L847" s="7">
        <f>INDEX(products!$A$1:$G$49,MATCH(orders!$D847,products!$A$1:$A$49,0),MATCH(orders!L$1,products!$A$1:$G$1,0))</f>
        <v>27.945</v>
      </c>
      <c r="M847" s="7">
        <f t="shared" si="39"/>
        <v>167.67000000000002</v>
      </c>
      <c r="N847" t="str">
        <f t="shared" si="40"/>
        <v>Excelsa</v>
      </c>
      <c r="O847" t="str">
        <f t="shared" si="41"/>
        <v>Dark</v>
      </c>
      <c r="P847" t="str">
        <f>_xlfn.XLOOKUP(Table1[[#This Row],[Customer ID]],customers!$A$1:$A$1001,customers!$I$1:$I$1001,,0)</f>
        <v>No</v>
      </c>
    </row>
    <row r="848" spans="1:16" x14ac:dyDescent="0.2">
      <c r="A848" s="2" t="s">
        <v>5273</v>
      </c>
      <c r="B848" s="3">
        <v>44747</v>
      </c>
      <c r="C848" s="2" t="s">
        <v>5274</v>
      </c>
      <c r="D848" t="s">
        <v>6175</v>
      </c>
      <c r="E848" s="2">
        <v>2</v>
      </c>
      <c r="F848" s="2" t="str">
        <f>_xlfn.XLOOKUP(C848,customers!$A847:$A1847,customers!$B847:$B1847,,0)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5">
        <f>INDEX(products!$A$1:$G$49,MATCH(orders!$D848,products!$A$1:$A$49,0),MATCH(orders!K$1,products!$A$1:$G$1,0))</f>
        <v>2.5</v>
      </c>
      <c r="L848" s="7">
        <f>INDEX(products!$A$1:$G$49,MATCH(orders!$D848,products!$A$1:$A$49,0),MATCH(orders!L$1,products!$A$1:$G$1,0))</f>
        <v>25.874999999999996</v>
      </c>
      <c r="M848" s="7">
        <f t="shared" si="39"/>
        <v>51.749999999999993</v>
      </c>
      <c r="N848" t="str">
        <f t="shared" si="40"/>
        <v>Arabica</v>
      </c>
      <c r="O848" t="str">
        <f t="shared" si="41"/>
        <v>Medium</v>
      </c>
      <c r="P848" t="str">
        <f>_xlfn.XLOOKUP(Table1[[#This Row],[Customer ID]],customers!$A$1:$A$1001,customers!$I$1:$I$1001,,0)</f>
        <v>Yes</v>
      </c>
    </row>
    <row r="849" spans="1:16" x14ac:dyDescent="0.2">
      <c r="A849" s="2" t="s">
        <v>5278</v>
      </c>
      <c r="B849" s="3">
        <v>44460</v>
      </c>
      <c r="C849" s="2" t="s">
        <v>5279</v>
      </c>
      <c r="D849" t="s">
        <v>6154</v>
      </c>
      <c r="E849" s="2">
        <v>3</v>
      </c>
      <c r="F849" s="2" t="str">
        <f>_xlfn.XLOOKUP(C849,customers!$A848:$A1848,customers!$B848:$B1848,,0)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5">
        <f>INDEX(products!$A$1:$G$49,MATCH(orders!$D849,products!$A$1:$A$49,0),MATCH(orders!K$1,products!$A$1:$G$1,0))</f>
        <v>0.2</v>
      </c>
      <c r="L849" s="7">
        <f>INDEX(products!$A$1:$G$49,MATCH(orders!$D849,products!$A$1:$A$49,0),MATCH(orders!L$1,products!$A$1:$G$1,0))</f>
        <v>2.9849999999999999</v>
      </c>
      <c r="M849" s="7">
        <f t="shared" si="39"/>
        <v>8.9550000000000001</v>
      </c>
      <c r="N849" t="str">
        <f t="shared" si="40"/>
        <v>Arabica</v>
      </c>
      <c r="O849" t="str">
        <f t="shared" si="41"/>
        <v>Dark</v>
      </c>
      <c r="P849" t="str">
        <f>_xlfn.XLOOKUP(Table1[[#This Row],[Customer ID]],customers!$A$1:$A$1001,customers!$I$1:$I$1001,,0)</f>
        <v>Yes</v>
      </c>
    </row>
    <row r="850" spans="1:16" x14ac:dyDescent="0.2">
      <c r="A850" s="2" t="s">
        <v>5283</v>
      </c>
      <c r="B850" s="3">
        <v>43468</v>
      </c>
      <c r="C850" s="2" t="s">
        <v>5284</v>
      </c>
      <c r="D850" t="s">
        <v>6176</v>
      </c>
      <c r="E850" s="2">
        <v>6</v>
      </c>
      <c r="F850" s="2" t="str">
        <f>_xlfn.XLOOKUP(C850,customers!$A849:$A1849,customers!$B849:$B1849,,0)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5">
        <f>INDEX(products!$A$1:$G$49,MATCH(orders!$D850,products!$A$1:$A$49,0),MATCH(orders!K$1,products!$A$1:$G$1,0))</f>
        <v>0.5</v>
      </c>
      <c r="L850" s="7">
        <f>INDEX(products!$A$1:$G$49,MATCH(orders!$D850,products!$A$1:$A$49,0),MATCH(orders!L$1,products!$A$1:$G$1,0))</f>
        <v>8.91</v>
      </c>
      <c r="M850" s="7">
        <f t="shared" si="39"/>
        <v>53.46</v>
      </c>
      <c r="N850" t="str">
        <f t="shared" si="40"/>
        <v>Excelsa</v>
      </c>
      <c r="O850" t="str">
        <f t="shared" si="41"/>
        <v>Light</v>
      </c>
      <c r="P850" t="str">
        <f>_xlfn.XLOOKUP(Table1[[#This Row],[Customer ID]],customers!$A$1:$A$1001,customers!$I$1:$I$1001,,0)</f>
        <v>No</v>
      </c>
    </row>
    <row r="851" spans="1:16" x14ac:dyDescent="0.2">
      <c r="A851" s="2" t="s">
        <v>5288</v>
      </c>
      <c r="B851" s="3">
        <v>44628</v>
      </c>
      <c r="C851" s="2" t="s">
        <v>5289</v>
      </c>
      <c r="D851" t="s">
        <v>6167</v>
      </c>
      <c r="E851" s="2">
        <v>6</v>
      </c>
      <c r="F851" s="2" t="str">
        <f>_xlfn.XLOOKUP(C851,customers!$A850:$A1850,customers!$B850:$B1850,,0)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5">
        <f>INDEX(products!$A$1:$G$49,MATCH(orders!$D851,products!$A$1:$A$49,0),MATCH(orders!K$1,products!$A$1:$G$1,0))</f>
        <v>0.2</v>
      </c>
      <c r="L851" s="7">
        <f>INDEX(products!$A$1:$G$49,MATCH(orders!$D851,products!$A$1:$A$49,0),MATCH(orders!L$1,products!$A$1:$G$1,0))</f>
        <v>3.8849999999999998</v>
      </c>
      <c r="M851" s="7">
        <f t="shared" si="39"/>
        <v>23.31</v>
      </c>
      <c r="N851" t="str">
        <f t="shared" si="40"/>
        <v>Arabica</v>
      </c>
      <c r="O851" t="str">
        <f t="shared" si="41"/>
        <v>Light</v>
      </c>
      <c r="P851" t="str">
        <f>_xlfn.XLOOKUP(Table1[[#This Row],[Customer ID]],customers!$A$1:$A$1001,customers!$I$1:$I$1001,,0)</f>
        <v>Yes</v>
      </c>
    </row>
    <row r="852" spans="1:16" x14ac:dyDescent="0.2">
      <c r="A852" s="2" t="s">
        <v>5288</v>
      </c>
      <c r="B852" s="3">
        <v>44628</v>
      </c>
      <c r="C852" s="2" t="s">
        <v>5289</v>
      </c>
      <c r="D852" t="s">
        <v>6152</v>
      </c>
      <c r="E852" s="2">
        <v>2</v>
      </c>
      <c r="F852" s="2" t="str">
        <f>_xlfn.XLOOKUP(C852,customers!$A851:$A1851,customers!$B851:$B1851,,0)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5">
        <f>INDEX(products!$A$1:$G$49,MATCH(orders!$D852,products!$A$1:$A$49,0),MATCH(orders!K$1,products!$A$1:$G$1,0))</f>
        <v>0.2</v>
      </c>
      <c r="L852" s="7">
        <f>INDEX(products!$A$1:$G$49,MATCH(orders!$D852,products!$A$1:$A$49,0),MATCH(orders!L$1,products!$A$1:$G$1,0))</f>
        <v>3.375</v>
      </c>
      <c r="M852" s="7">
        <f t="shared" si="39"/>
        <v>6.75</v>
      </c>
      <c r="N852" t="str">
        <f t="shared" si="40"/>
        <v>Arabica</v>
      </c>
      <c r="O852" t="str">
        <f t="shared" si="41"/>
        <v>Medium</v>
      </c>
      <c r="P852" t="str">
        <f>_xlfn.XLOOKUP(Table1[[#This Row],[Customer ID]],customers!$A$1:$A$1001,customers!$I$1:$I$1001,,0)</f>
        <v>Yes</v>
      </c>
    </row>
    <row r="853" spans="1:16" x14ac:dyDescent="0.2">
      <c r="A853" s="2" t="s">
        <v>5299</v>
      </c>
      <c r="B853" s="3">
        <v>43900</v>
      </c>
      <c r="C853" s="2" t="s">
        <v>5300</v>
      </c>
      <c r="D853" t="s">
        <v>6169</v>
      </c>
      <c r="E853" s="2">
        <v>1</v>
      </c>
      <c r="F853" s="2" t="str">
        <f>_xlfn.XLOOKUP(C853,customers!$A852:$A1852,customers!$B852:$B1852,,0)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5">
        <f>INDEX(products!$A$1:$G$49,MATCH(orders!$D853,products!$A$1:$A$49,0),MATCH(orders!K$1,products!$A$1:$G$1,0))</f>
        <v>0.5</v>
      </c>
      <c r="L853" s="7">
        <f>INDEX(products!$A$1:$G$49,MATCH(orders!$D853,products!$A$1:$A$49,0),MATCH(orders!L$1,products!$A$1:$G$1,0))</f>
        <v>7.77</v>
      </c>
      <c r="M853" s="7">
        <f t="shared" si="39"/>
        <v>7.77</v>
      </c>
      <c r="N853" t="str">
        <f t="shared" si="40"/>
        <v>Liberica</v>
      </c>
      <c r="O853" t="str">
        <f t="shared" si="41"/>
        <v>Dark</v>
      </c>
      <c r="P853" t="str">
        <f>_xlfn.XLOOKUP(Table1[[#This Row],[Customer ID]],customers!$A$1:$A$1001,customers!$I$1:$I$1001,,0)</f>
        <v>Yes</v>
      </c>
    </row>
    <row r="854" spans="1:16" x14ac:dyDescent="0.2">
      <c r="A854" s="2" t="s">
        <v>5305</v>
      </c>
      <c r="B854" s="3">
        <v>44527</v>
      </c>
      <c r="C854" s="2" t="s">
        <v>5306</v>
      </c>
      <c r="D854" t="s">
        <v>6165</v>
      </c>
      <c r="E854" s="2">
        <v>4</v>
      </c>
      <c r="F854" s="2" t="str">
        <f>_xlfn.XLOOKUP(C854,customers!$A853:$A1853,customers!$B853:$B1853,,0)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5">
        <f>INDEX(products!$A$1:$G$49,MATCH(orders!$D854,products!$A$1:$A$49,0),MATCH(orders!K$1,products!$A$1:$G$1,0))</f>
        <v>2.5</v>
      </c>
      <c r="L854" s="7">
        <f>INDEX(products!$A$1:$G$49,MATCH(orders!$D854,products!$A$1:$A$49,0),MATCH(orders!L$1,products!$A$1:$G$1,0))</f>
        <v>29.784999999999997</v>
      </c>
      <c r="M854" s="7">
        <f t="shared" si="39"/>
        <v>119.13999999999999</v>
      </c>
      <c r="N854" t="str">
        <f t="shared" si="40"/>
        <v>Liberica</v>
      </c>
      <c r="O854" t="str">
        <f t="shared" si="41"/>
        <v>Dark</v>
      </c>
      <c r="P854" t="str">
        <f>_xlfn.XLOOKUP(Table1[[#This Row],[Customer ID]],customers!$A$1:$A$1001,customers!$I$1:$I$1001,,0)</f>
        <v>Yes</v>
      </c>
    </row>
    <row r="855" spans="1:16" x14ac:dyDescent="0.2">
      <c r="A855" s="2" t="s">
        <v>5310</v>
      </c>
      <c r="B855" s="3">
        <v>44259</v>
      </c>
      <c r="C855" s="2" t="s">
        <v>5311</v>
      </c>
      <c r="D855" t="s">
        <v>6147</v>
      </c>
      <c r="E855" s="2">
        <v>2</v>
      </c>
      <c r="F855" s="2" t="str">
        <f>_xlfn.XLOOKUP(C855,customers!$A854:$A1854,customers!$B854:$B1854,,0)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5">
        <f>INDEX(products!$A$1:$G$49,MATCH(orders!$D855,products!$A$1:$A$49,0),MATCH(orders!K$1,products!$A$1:$G$1,0))</f>
        <v>1</v>
      </c>
      <c r="L855" s="7">
        <f>INDEX(products!$A$1:$G$49,MATCH(orders!$D855,products!$A$1:$A$49,0),MATCH(orders!L$1,products!$A$1:$G$1,0))</f>
        <v>9.9499999999999993</v>
      </c>
      <c r="M855" s="7">
        <f t="shared" si="39"/>
        <v>19.899999999999999</v>
      </c>
      <c r="N855" t="str">
        <f t="shared" si="40"/>
        <v>Arabica</v>
      </c>
      <c r="O855" t="str">
        <f t="shared" si="41"/>
        <v>Dark</v>
      </c>
      <c r="P855" t="str">
        <f>_xlfn.XLOOKUP(Table1[[#This Row],[Customer ID]],customers!$A$1:$A$1001,customers!$I$1:$I$1001,,0)</f>
        <v>No</v>
      </c>
    </row>
    <row r="856" spans="1:16" x14ac:dyDescent="0.2">
      <c r="A856" s="2" t="s">
        <v>5315</v>
      </c>
      <c r="B856" s="3">
        <v>44516</v>
      </c>
      <c r="C856" s="2" t="s">
        <v>5316</v>
      </c>
      <c r="D856" t="s">
        <v>6173</v>
      </c>
      <c r="E856" s="2">
        <v>5</v>
      </c>
      <c r="F856" s="2" t="str">
        <f>_xlfn.XLOOKUP(C856,customers!$A855:$A1855,customers!$B855:$B1855,,0)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5">
        <f>INDEX(products!$A$1:$G$49,MATCH(orders!$D856,products!$A$1:$A$49,0),MATCH(orders!K$1,products!$A$1:$G$1,0))</f>
        <v>0.5</v>
      </c>
      <c r="L856" s="7">
        <f>INDEX(products!$A$1:$G$49,MATCH(orders!$D856,products!$A$1:$A$49,0),MATCH(orders!L$1,products!$A$1:$G$1,0))</f>
        <v>7.169999999999999</v>
      </c>
      <c r="M856" s="7">
        <f t="shared" si="39"/>
        <v>35.849999999999994</v>
      </c>
      <c r="N856" t="str">
        <f t="shared" si="40"/>
        <v>Robusta</v>
      </c>
      <c r="O856" t="str">
        <f t="shared" si="41"/>
        <v>Light</v>
      </c>
      <c r="P856" t="str">
        <f>_xlfn.XLOOKUP(Table1[[#This Row],[Customer ID]],customers!$A$1:$A$1001,customers!$I$1:$I$1001,,0)</f>
        <v>Yes</v>
      </c>
    </row>
    <row r="857" spans="1:16" x14ac:dyDescent="0.2">
      <c r="A857" s="2" t="s">
        <v>5321</v>
      </c>
      <c r="B857" s="3">
        <v>43632</v>
      </c>
      <c r="C857" s="2" t="s">
        <v>5322</v>
      </c>
      <c r="D857" t="s">
        <v>6165</v>
      </c>
      <c r="E857" s="2">
        <v>3</v>
      </c>
      <c r="F857" s="2" t="str">
        <f>_xlfn.XLOOKUP(C857,customers!$A856:$A1856,customers!$B856:$B1856,,0)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5">
        <f>INDEX(products!$A$1:$G$49,MATCH(orders!$D857,products!$A$1:$A$49,0),MATCH(orders!K$1,products!$A$1:$G$1,0))</f>
        <v>2.5</v>
      </c>
      <c r="L857" s="7">
        <f>INDEX(products!$A$1:$G$49,MATCH(orders!$D857,products!$A$1:$A$49,0),MATCH(orders!L$1,products!$A$1:$G$1,0))</f>
        <v>29.784999999999997</v>
      </c>
      <c r="M857" s="7">
        <f t="shared" si="39"/>
        <v>89.35499999999999</v>
      </c>
      <c r="N857" t="str">
        <f t="shared" si="40"/>
        <v>Liberica</v>
      </c>
      <c r="O857" t="str">
        <f t="shared" si="41"/>
        <v>Dark</v>
      </c>
      <c r="P857" t="str">
        <f>_xlfn.XLOOKUP(Table1[[#This Row],[Customer ID]],customers!$A$1:$A$1001,customers!$I$1:$I$1001,,0)</f>
        <v>No</v>
      </c>
    </row>
    <row r="858" spans="1:16" x14ac:dyDescent="0.2">
      <c r="A858" s="2" t="s">
        <v>5327</v>
      </c>
      <c r="B858" s="3">
        <v>44031</v>
      </c>
      <c r="C858" s="2" t="s">
        <v>5188</v>
      </c>
      <c r="D858" t="s">
        <v>6159</v>
      </c>
      <c r="E858" s="2">
        <v>2</v>
      </c>
      <c r="F858" s="2" t="e">
        <f>_xlfn.XLOOKUP(C858,customers!$A857:$A1857,customers!$B857:$B1857,,0)</f>
        <v>#N/A</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5">
        <f>INDEX(products!$A$1:$G$49,MATCH(orders!$D858,products!$A$1:$A$49,0),MATCH(orders!K$1,products!$A$1:$G$1,0))</f>
        <v>0.2</v>
      </c>
      <c r="L858" s="7">
        <f>INDEX(products!$A$1:$G$49,MATCH(orders!$D858,products!$A$1:$A$49,0),MATCH(orders!L$1,products!$A$1:$G$1,0))</f>
        <v>4.3650000000000002</v>
      </c>
      <c r="M858" s="7">
        <f t="shared" si="39"/>
        <v>8.73</v>
      </c>
      <c r="N858" t="str">
        <f t="shared" si="40"/>
        <v>Liberica</v>
      </c>
      <c r="O858" t="str">
        <f t="shared" si="41"/>
        <v>Medium</v>
      </c>
      <c r="P858" t="str">
        <f>_xlfn.XLOOKUP(Table1[[#This Row],[Customer ID]],customers!$A$1:$A$1001,customers!$I$1:$I$1001,,0)</f>
        <v>Yes</v>
      </c>
    </row>
    <row r="859" spans="1:16" x14ac:dyDescent="0.2">
      <c r="A859" s="2" t="s">
        <v>5333</v>
      </c>
      <c r="B859" s="3">
        <v>43889</v>
      </c>
      <c r="C859" s="2" t="s">
        <v>5334</v>
      </c>
      <c r="D859" t="s">
        <v>6142</v>
      </c>
      <c r="E859" s="2">
        <v>5</v>
      </c>
      <c r="F859" s="2" t="str">
        <f>_xlfn.XLOOKUP(C859,customers!$A858:$A1858,customers!$B858:$B1858,,0)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5">
        <f>INDEX(products!$A$1:$G$49,MATCH(orders!$D859,products!$A$1:$A$49,0),MATCH(orders!K$1,products!$A$1:$G$1,0))</f>
        <v>2.5</v>
      </c>
      <c r="L859" s="7">
        <f>INDEX(products!$A$1:$G$49,MATCH(orders!$D859,products!$A$1:$A$49,0),MATCH(orders!L$1,products!$A$1:$G$1,0))</f>
        <v>27.484999999999996</v>
      </c>
      <c r="M859" s="7">
        <f t="shared" si="39"/>
        <v>137.42499999999998</v>
      </c>
      <c r="N859" t="str">
        <f t="shared" si="40"/>
        <v>Robusta</v>
      </c>
      <c r="O859" t="str">
        <f t="shared" si="41"/>
        <v>Light</v>
      </c>
      <c r="P859" t="str">
        <f>_xlfn.XLOOKUP(Table1[[#This Row],[Customer ID]],customers!$A$1:$A$1001,customers!$I$1:$I$1001,,0)</f>
        <v>No</v>
      </c>
    </row>
    <row r="860" spans="1:16" x14ac:dyDescent="0.2">
      <c r="A860" s="2" t="s">
        <v>5339</v>
      </c>
      <c r="B860" s="3">
        <v>43638</v>
      </c>
      <c r="C860" s="2" t="s">
        <v>5340</v>
      </c>
      <c r="D860" t="s">
        <v>6160</v>
      </c>
      <c r="E860" s="2">
        <v>4</v>
      </c>
      <c r="F860" s="2" t="str">
        <f>_xlfn.XLOOKUP(C860,customers!$A859:$A1859,customers!$B859:$B1859,,0)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5">
        <f>INDEX(products!$A$1:$G$49,MATCH(orders!$D860,products!$A$1:$A$49,0),MATCH(orders!K$1,products!$A$1:$G$1,0))</f>
        <v>0.5</v>
      </c>
      <c r="L860" s="7">
        <f>INDEX(products!$A$1:$G$49,MATCH(orders!$D860,products!$A$1:$A$49,0),MATCH(orders!L$1,products!$A$1:$G$1,0))</f>
        <v>8.73</v>
      </c>
      <c r="M860" s="7">
        <f t="shared" si="39"/>
        <v>34.92</v>
      </c>
      <c r="N860" t="str">
        <f t="shared" si="40"/>
        <v>Liberica</v>
      </c>
      <c r="O860" t="str">
        <f t="shared" si="41"/>
        <v>Medium</v>
      </c>
      <c r="P860" t="str">
        <f>_xlfn.XLOOKUP(Table1[[#This Row],[Customer ID]],customers!$A$1:$A$1001,customers!$I$1:$I$1001,,0)</f>
        <v>No</v>
      </c>
    </row>
    <row r="861" spans="1:16" x14ac:dyDescent="0.2">
      <c r="A861" s="2" t="s">
        <v>5345</v>
      </c>
      <c r="B861" s="3">
        <v>43716</v>
      </c>
      <c r="C861" s="2" t="s">
        <v>5346</v>
      </c>
      <c r="D861" t="s">
        <v>6182</v>
      </c>
      <c r="E861" s="2">
        <v>6</v>
      </c>
      <c r="F861" s="2" t="str">
        <f>_xlfn.XLOOKUP(C861,customers!$A860:$A1860,customers!$B860:$B1860,,0)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5">
        <f>INDEX(products!$A$1:$G$49,MATCH(orders!$D861,products!$A$1:$A$49,0),MATCH(orders!K$1,products!$A$1:$G$1,0))</f>
        <v>2.5</v>
      </c>
      <c r="L861" s="7">
        <f>INDEX(products!$A$1:$G$49,MATCH(orders!$D861,products!$A$1:$A$49,0),MATCH(orders!L$1,products!$A$1:$G$1,0))</f>
        <v>29.784999999999997</v>
      </c>
      <c r="M861" s="7">
        <f t="shared" si="39"/>
        <v>178.70999999999998</v>
      </c>
      <c r="N861" t="str">
        <f t="shared" si="40"/>
        <v>Arabica</v>
      </c>
      <c r="O861" t="str">
        <f t="shared" si="41"/>
        <v>Light</v>
      </c>
      <c r="P861" t="str">
        <f>_xlfn.XLOOKUP(Table1[[#This Row],[Customer ID]],customers!$A$1:$A$1001,customers!$I$1:$I$1001,,0)</f>
        <v>No</v>
      </c>
    </row>
    <row r="862" spans="1:16" x14ac:dyDescent="0.2">
      <c r="A862" s="2" t="s">
        <v>5351</v>
      </c>
      <c r="B862" s="3">
        <v>44707</v>
      </c>
      <c r="C862" s="2" t="s">
        <v>5352</v>
      </c>
      <c r="D862" t="s">
        <v>6175</v>
      </c>
      <c r="E862" s="2">
        <v>1</v>
      </c>
      <c r="F862" s="2" t="str">
        <f>_xlfn.XLOOKUP(C862,customers!$A861:$A1861,customers!$B861:$B1861,,0)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5">
        <f>INDEX(products!$A$1:$G$49,MATCH(orders!$D862,products!$A$1:$A$49,0),MATCH(orders!K$1,products!$A$1:$G$1,0))</f>
        <v>2.5</v>
      </c>
      <c r="L862" s="7">
        <f>INDEX(products!$A$1:$G$49,MATCH(orders!$D862,products!$A$1:$A$49,0),MATCH(orders!L$1,products!$A$1:$G$1,0))</f>
        <v>25.874999999999996</v>
      </c>
      <c r="M862" s="7">
        <f t="shared" si="39"/>
        <v>25.874999999999996</v>
      </c>
      <c r="N862" t="str">
        <f t="shared" si="40"/>
        <v>Arabica</v>
      </c>
      <c r="O862" t="str">
        <f t="shared" si="41"/>
        <v>Medium</v>
      </c>
      <c r="P862" t="str">
        <f>_xlfn.XLOOKUP(Table1[[#This Row],[Customer ID]],customers!$A$1:$A$1001,customers!$I$1:$I$1001,,0)</f>
        <v>No</v>
      </c>
    </row>
    <row r="863" spans="1:16" x14ac:dyDescent="0.2">
      <c r="A863" s="2" t="s">
        <v>5356</v>
      </c>
      <c r="B863" s="3">
        <v>43802</v>
      </c>
      <c r="C863" s="2" t="s">
        <v>5357</v>
      </c>
      <c r="D863" t="s">
        <v>6143</v>
      </c>
      <c r="E863" s="2">
        <v>6</v>
      </c>
      <c r="F863" s="2" t="str">
        <f>_xlfn.XLOOKUP(C863,customers!$A862:$A1862,customers!$B862:$B1862,,0)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5">
        <f>INDEX(products!$A$1:$G$49,MATCH(orders!$D863,products!$A$1:$A$49,0),MATCH(orders!K$1,products!$A$1:$G$1,0))</f>
        <v>1</v>
      </c>
      <c r="L863" s="7">
        <f>INDEX(products!$A$1:$G$49,MATCH(orders!$D863,products!$A$1:$A$49,0),MATCH(orders!L$1,products!$A$1:$G$1,0))</f>
        <v>12.95</v>
      </c>
      <c r="M863" s="7">
        <f t="shared" si="39"/>
        <v>77.699999999999989</v>
      </c>
      <c r="N863" t="str">
        <f t="shared" si="40"/>
        <v>Liberica</v>
      </c>
      <c r="O863" t="str">
        <f t="shared" si="41"/>
        <v>Dark</v>
      </c>
      <c r="P863" t="str">
        <f>_xlfn.XLOOKUP(Table1[[#This Row],[Customer ID]],customers!$A$1:$A$1001,customers!$I$1:$I$1001,,0)</f>
        <v>Yes</v>
      </c>
    </row>
    <row r="864" spans="1:16" x14ac:dyDescent="0.2">
      <c r="A864" s="2" t="s">
        <v>5362</v>
      </c>
      <c r="B864" s="3">
        <v>43725</v>
      </c>
      <c r="C864" s="2" t="s">
        <v>5363</v>
      </c>
      <c r="D864" t="s">
        <v>6138</v>
      </c>
      <c r="E864" s="2">
        <v>1</v>
      </c>
      <c r="F864" s="2" t="str">
        <f>_xlfn.XLOOKUP(C864,customers!$A863:$A1863,customers!$B863:$B1863,,0)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5">
        <f>INDEX(products!$A$1:$G$49,MATCH(orders!$D864,products!$A$1:$A$49,0),MATCH(orders!K$1,products!$A$1:$G$1,0))</f>
        <v>1</v>
      </c>
      <c r="L864" s="7">
        <f>INDEX(products!$A$1:$G$49,MATCH(orders!$D864,products!$A$1:$A$49,0),MATCH(orders!L$1,products!$A$1:$G$1,0))</f>
        <v>9.9499999999999993</v>
      </c>
      <c r="M864" s="7">
        <f t="shared" si="39"/>
        <v>9.9499999999999993</v>
      </c>
      <c r="N864" t="str">
        <f t="shared" si="40"/>
        <v>Robusta</v>
      </c>
      <c r="O864" t="str">
        <f t="shared" si="41"/>
        <v>Medium</v>
      </c>
      <c r="P864" t="str">
        <f>_xlfn.XLOOKUP(Table1[[#This Row],[Customer ID]],customers!$A$1:$A$1001,customers!$I$1:$I$1001,,0)</f>
        <v>Yes</v>
      </c>
    </row>
    <row r="865" spans="1:16" x14ac:dyDescent="0.2">
      <c r="A865" s="2" t="s">
        <v>5368</v>
      </c>
      <c r="B865" s="3">
        <v>44712</v>
      </c>
      <c r="C865" s="2" t="s">
        <v>5369</v>
      </c>
      <c r="D865" t="s">
        <v>6162</v>
      </c>
      <c r="E865" s="2">
        <v>2</v>
      </c>
      <c r="F865" s="2" t="str">
        <f>_xlfn.XLOOKUP(C865,customers!$A864:$A1864,customers!$B864:$B1864,,0)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5">
        <f>INDEX(products!$A$1:$G$49,MATCH(orders!$D865,products!$A$1:$A$49,0),MATCH(orders!K$1,products!$A$1:$G$1,0))</f>
        <v>1</v>
      </c>
      <c r="L865" s="7">
        <f>INDEX(products!$A$1:$G$49,MATCH(orders!$D865,products!$A$1:$A$49,0),MATCH(orders!L$1,products!$A$1:$G$1,0))</f>
        <v>14.55</v>
      </c>
      <c r="M865" s="7">
        <f t="shared" si="39"/>
        <v>29.1</v>
      </c>
      <c r="N865" t="str">
        <f t="shared" si="40"/>
        <v>Liberica</v>
      </c>
      <c r="O865" t="str">
        <f t="shared" si="41"/>
        <v>Medium</v>
      </c>
      <c r="P865" t="str">
        <f>_xlfn.XLOOKUP(Table1[[#This Row],[Customer ID]],customers!$A$1:$A$1001,customers!$I$1:$I$1001,,0)</f>
        <v>Yes</v>
      </c>
    </row>
    <row r="866" spans="1:16" x14ac:dyDescent="0.2">
      <c r="A866" s="2" t="s">
        <v>5374</v>
      </c>
      <c r="B866" s="3">
        <v>43759</v>
      </c>
      <c r="C866" s="2" t="s">
        <v>5375</v>
      </c>
      <c r="D866" t="s">
        <v>6178</v>
      </c>
      <c r="E866" s="2">
        <v>6</v>
      </c>
      <c r="F866" s="2" t="str">
        <f>_xlfn.XLOOKUP(C866,customers!$A865:$A1865,customers!$B865:$B1865,,0)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5">
        <f>INDEX(products!$A$1:$G$49,MATCH(orders!$D866,products!$A$1:$A$49,0),MATCH(orders!K$1,products!$A$1:$G$1,0))</f>
        <v>0.2</v>
      </c>
      <c r="L866" s="7">
        <f>INDEX(products!$A$1:$G$49,MATCH(orders!$D866,products!$A$1:$A$49,0),MATCH(orders!L$1,products!$A$1:$G$1,0))</f>
        <v>3.5849999999999995</v>
      </c>
      <c r="M866" s="7">
        <f t="shared" si="39"/>
        <v>21.509999999999998</v>
      </c>
      <c r="N866" t="str">
        <f t="shared" si="40"/>
        <v>Robusta</v>
      </c>
      <c r="O866" t="str">
        <f t="shared" si="41"/>
        <v>Light</v>
      </c>
      <c r="P866" t="str">
        <f>_xlfn.XLOOKUP(Table1[[#This Row],[Customer ID]],customers!$A$1:$A$1001,customers!$I$1:$I$1001,,0)</f>
        <v>No</v>
      </c>
    </row>
    <row r="867" spans="1:16" x14ac:dyDescent="0.2">
      <c r="A867" s="2" t="s">
        <v>5380</v>
      </c>
      <c r="B867" s="3">
        <v>44675</v>
      </c>
      <c r="C867" s="2" t="s">
        <v>5428</v>
      </c>
      <c r="D867" t="s">
        <v>6157</v>
      </c>
      <c r="E867" s="2">
        <v>1</v>
      </c>
      <c r="F867" s="2" t="str">
        <f>_xlfn.XLOOKUP(C867,customers!$A866:$A1866,customers!$B866:$B1866,,0)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5">
        <f>INDEX(products!$A$1:$G$49,MATCH(orders!$D867,products!$A$1:$A$49,0),MATCH(orders!K$1,products!$A$1:$G$1,0))</f>
        <v>0.5</v>
      </c>
      <c r="L867" s="7">
        <f>INDEX(products!$A$1:$G$49,MATCH(orders!$D867,products!$A$1:$A$49,0),MATCH(orders!L$1,products!$A$1:$G$1,0))</f>
        <v>6.75</v>
      </c>
      <c r="M867" s="7">
        <f t="shared" si="39"/>
        <v>6.75</v>
      </c>
      <c r="N867" t="str">
        <f t="shared" si="40"/>
        <v>Arabica</v>
      </c>
      <c r="O867" t="str">
        <f t="shared" si="41"/>
        <v>Medium</v>
      </c>
      <c r="P867" t="str">
        <f>_xlfn.XLOOKUP(Table1[[#This Row],[Customer ID]],customers!$A$1:$A$1001,customers!$I$1:$I$1001,,0)</f>
        <v>Yes</v>
      </c>
    </row>
    <row r="868" spans="1:16" x14ac:dyDescent="0.2">
      <c r="A868" s="2" t="s">
        <v>5385</v>
      </c>
      <c r="B868" s="3">
        <v>44209</v>
      </c>
      <c r="C868" s="2" t="s">
        <v>5386</v>
      </c>
      <c r="D868" t="s">
        <v>6158</v>
      </c>
      <c r="E868" s="2">
        <v>3</v>
      </c>
      <c r="F868" s="2" t="str">
        <f>_xlfn.XLOOKUP(C868,customers!$A867:$A1867,customers!$B867:$B1867,,0)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5">
        <f>INDEX(products!$A$1:$G$49,MATCH(orders!$D868,products!$A$1:$A$49,0),MATCH(orders!K$1,products!$A$1:$G$1,0))</f>
        <v>0.5</v>
      </c>
      <c r="L868" s="7">
        <f>INDEX(products!$A$1:$G$49,MATCH(orders!$D868,products!$A$1:$A$49,0),MATCH(orders!L$1,products!$A$1:$G$1,0))</f>
        <v>5.97</v>
      </c>
      <c r="M868" s="7">
        <f t="shared" si="39"/>
        <v>17.91</v>
      </c>
      <c r="N868" t="str">
        <f t="shared" si="40"/>
        <v>Arabica</v>
      </c>
      <c r="O868" t="str">
        <f t="shared" si="41"/>
        <v>Dark</v>
      </c>
      <c r="P868" t="str">
        <f>_xlfn.XLOOKUP(Table1[[#This Row],[Customer ID]],customers!$A$1:$A$1001,customers!$I$1:$I$1001,,0)</f>
        <v>No</v>
      </c>
    </row>
    <row r="869" spans="1:16" x14ac:dyDescent="0.2">
      <c r="A869" s="2" t="s">
        <v>5391</v>
      </c>
      <c r="B869" s="3">
        <v>44792</v>
      </c>
      <c r="C869" s="2" t="s">
        <v>5392</v>
      </c>
      <c r="D869" t="s">
        <v>6182</v>
      </c>
      <c r="E869" s="2">
        <v>1</v>
      </c>
      <c r="F869" s="2" t="str">
        <f>_xlfn.XLOOKUP(C869,customers!$A868:$A1868,customers!$B868:$B1868,,0)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5">
        <f>INDEX(products!$A$1:$G$49,MATCH(orders!$D869,products!$A$1:$A$49,0),MATCH(orders!K$1,products!$A$1:$G$1,0))</f>
        <v>2.5</v>
      </c>
      <c r="L869" s="7">
        <f>INDEX(products!$A$1:$G$49,MATCH(orders!$D869,products!$A$1:$A$49,0),MATCH(orders!L$1,products!$A$1:$G$1,0))</f>
        <v>29.784999999999997</v>
      </c>
      <c r="M869" s="7">
        <f t="shared" si="39"/>
        <v>29.784999999999997</v>
      </c>
      <c r="N869" t="str">
        <f t="shared" si="40"/>
        <v>Arabica</v>
      </c>
      <c r="O869" t="str">
        <f t="shared" si="41"/>
        <v>Light</v>
      </c>
      <c r="P869" t="str">
        <f>_xlfn.XLOOKUP(Table1[[#This Row],[Customer ID]],customers!$A$1:$A$1001,customers!$I$1:$I$1001,,0)</f>
        <v>Yes</v>
      </c>
    </row>
    <row r="870" spans="1:16" x14ac:dyDescent="0.2">
      <c r="A870" s="2" t="s">
        <v>5396</v>
      </c>
      <c r="B870" s="3">
        <v>43526</v>
      </c>
      <c r="C870" s="2" t="s">
        <v>5397</v>
      </c>
      <c r="D870" t="s">
        <v>6139</v>
      </c>
      <c r="E870" s="2">
        <v>5</v>
      </c>
      <c r="F870" s="2" t="str">
        <f>_xlfn.XLOOKUP(C870,customers!$A869:$A1869,customers!$B869:$B1869,,0)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5">
        <f>INDEX(products!$A$1:$G$49,MATCH(orders!$D870,products!$A$1:$A$49,0),MATCH(orders!K$1,products!$A$1:$G$1,0))</f>
        <v>0.5</v>
      </c>
      <c r="L870" s="7">
        <f>INDEX(products!$A$1:$G$49,MATCH(orders!$D870,products!$A$1:$A$49,0),MATCH(orders!L$1,products!$A$1:$G$1,0))</f>
        <v>8.25</v>
      </c>
      <c r="M870" s="7">
        <f t="shared" si="39"/>
        <v>41.25</v>
      </c>
      <c r="N870" t="str">
        <f t="shared" si="40"/>
        <v>Excelsa</v>
      </c>
      <c r="O870" t="str">
        <f t="shared" si="41"/>
        <v>Medium</v>
      </c>
      <c r="P870" t="str">
        <f>_xlfn.XLOOKUP(Table1[[#This Row],[Customer ID]],customers!$A$1:$A$1001,customers!$I$1:$I$1001,,0)</f>
        <v>Yes</v>
      </c>
    </row>
    <row r="871" spans="1:16" x14ac:dyDescent="0.2">
      <c r="A871" s="2" t="s">
        <v>5402</v>
      </c>
      <c r="B871" s="3">
        <v>43851</v>
      </c>
      <c r="C871" s="2" t="s">
        <v>5403</v>
      </c>
      <c r="D871" t="s">
        <v>6146</v>
      </c>
      <c r="E871" s="2">
        <v>3</v>
      </c>
      <c r="F871" s="2" t="str">
        <f>_xlfn.XLOOKUP(C871,customers!$A870:$A1870,customers!$B870:$B1870,,0)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5">
        <f>INDEX(products!$A$1:$G$49,MATCH(orders!$D871,products!$A$1:$A$49,0),MATCH(orders!K$1,products!$A$1:$G$1,0))</f>
        <v>0.5</v>
      </c>
      <c r="L871" s="7">
        <f>INDEX(products!$A$1:$G$49,MATCH(orders!$D871,products!$A$1:$A$49,0),MATCH(orders!L$1,products!$A$1:$G$1,0))</f>
        <v>5.97</v>
      </c>
      <c r="M871" s="7">
        <f t="shared" si="39"/>
        <v>17.91</v>
      </c>
      <c r="N871" t="str">
        <f t="shared" si="40"/>
        <v>Robusta</v>
      </c>
      <c r="O871" t="str">
        <f t="shared" si="41"/>
        <v>Medium</v>
      </c>
      <c r="P871" t="str">
        <f>_xlfn.XLOOKUP(Table1[[#This Row],[Customer ID]],customers!$A$1:$A$1001,customers!$I$1:$I$1001,,0)</f>
        <v>Yes</v>
      </c>
    </row>
    <row r="872" spans="1:16" x14ac:dyDescent="0.2">
      <c r="A872" s="2" t="s">
        <v>5407</v>
      </c>
      <c r="B872" s="3">
        <v>44460</v>
      </c>
      <c r="C872" s="2" t="s">
        <v>5408</v>
      </c>
      <c r="D872" t="s">
        <v>6144</v>
      </c>
      <c r="E872" s="2">
        <v>1</v>
      </c>
      <c r="F872" s="2" t="str">
        <f>_xlfn.XLOOKUP(C872,customers!$A871:$A1871,customers!$B871:$B1871,,0)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5">
        <f>INDEX(products!$A$1:$G$49,MATCH(orders!$D872,products!$A$1:$A$49,0),MATCH(orders!K$1,products!$A$1:$G$1,0))</f>
        <v>0.5</v>
      </c>
      <c r="L872" s="7">
        <f>INDEX(products!$A$1:$G$49,MATCH(orders!$D872,products!$A$1:$A$49,0),MATCH(orders!L$1,products!$A$1:$G$1,0))</f>
        <v>7.29</v>
      </c>
      <c r="M872" s="7">
        <f t="shared" si="39"/>
        <v>7.29</v>
      </c>
      <c r="N872" t="str">
        <f t="shared" si="40"/>
        <v>Excelsa</v>
      </c>
      <c r="O872" t="str">
        <f t="shared" si="41"/>
        <v>Dark</v>
      </c>
      <c r="P872" t="str">
        <f>_xlfn.XLOOKUP(Table1[[#This Row],[Customer ID]],customers!$A$1:$A$1001,customers!$I$1:$I$1001,,0)</f>
        <v>Yes</v>
      </c>
    </row>
    <row r="873" spans="1:16" x14ac:dyDescent="0.2">
      <c r="A873" s="2" t="s">
        <v>5413</v>
      </c>
      <c r="B873" s="3">
        <v>43707</v>
      </c>
      <c r="C873" s="2" t="s">
        <v>5414</v>
      </c>
      <c r="D873" t="s">
        <v>6171</v>
      </c>
      <c r="E873" s="2">
        <v>2</v>
      </c>
      <c r="F873" s="2" t="str">
        <f>_xlfn.XLOOKUP(C873,customers!$A872:$A1872,customers!$B872:$B1872,,0)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5">
        <f>INDEX(products!$A$1:$G$49,MATCH(orders!$D873,products!$A$1:$A$49,0),MATCH(orders!K$1,products!$A$1:$G$1,0))</f>
        <v>1</v>
      </c>
      <c r="L873" s="7">
        <f>INDEX(products!$A$1:$G$49,MATCH(orders!$D873,products!$A$1:$A$49,0),MATCH(orders!L$1,products!$A$1:$G$1,0))</f>
        <v>14.85</v>
      </c>
      <c r="M873" s="7">
        <f t="shared" si="39"/>
        <v>29.7</v>
      </c>
      <c r="N873" t="str">
        <f t="shared" si="40"/>
        <v>Excelsa</v>
      </c>
      <c r="O873" t="str">
        <f t="shared" si="41"/>
        <v>Light</v>
      </c>
      <c r="P873" t="str">
        <f>_xlfn.XLOOKUP(Table1[[#This Row],[Customer ID]],customers!$A$1:$A$1001,customers!$I$1:$I$1001,,0)</f>
        <v>Yes</v>
      </c>
    </row>
    <row r="874" spans="1:16" x14ac:dyDescent="0.2">
      <c r="A874" s="2" t="s">
        <v>5421</v>
      </c>
      <c r="B874" s="3">
        <v>43521</v>
      </c>
      <c r="C874" s="2" t="s">
        <v>5422</v>
      </c>
      <c r="D874" t="s">
        <v>6155</v>
      </c>
      <c r="E874" s="2">
        <v>2</v>
      </c>
      <c r="F874" s="2" t="str">
        <f>_xlfn.XLOOKUP(C874,customers!$A873:$A1873,customers!$B873:$B1873,,0)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5">
        <f>INDEX(products!$A$1:$G$49,MATCH(orders!$D874,products!$A$1:$A$49,0),MATCH(orders!K$1,products!$A$1:$G$1,0))</f>
        <v>1</v>
      </c>
      <c r="L874" s="7">
        <f>INDEX(products!$A$1:$G$49,MATCH(orders!$D874,products!$A$1:$A$49,0),MATCH(orders!L$1,products!$A$1:$G$1,0))</f>
        <v>11.25</v>
      </c>
      <c r="M874" s="7">
        <f t="shared" si="39"/>
        <v>22.5</v>
      </c>
      <c r="N874" t="str">
        <f t="shared" si="40"/>
        <v>Arabica</v>
      </c>
      <c r="O874" t="str">
        <f t="shared" si="41"/>
        <v>Medium</v>
      </c>
      <c r="P874" t="str">
        <f>_xlfn.XLOOKUP(Table1[[#This Row],[Customer ID]],customers!$A$1:$A$1001,customers!$I$1:$I$1001,,0)</f>
        <v>No</v>
      </c>
    </row>
    <row r="875" spans="1:16" x14ac:dyDescent="0.2">
      <c r="A875" s="2" t="s">
        <v>5427</v>
      </c>
      <c r="B875" s="3">
        <v>43725</v>
      </c>
      <c r="C875" s="2" t="s">
        <v>5428</v>
      </c>
      <c r="D875" t="s">
        <v>6174</v>
      </c>
      <c r="E875" s="2">
        <v>4</v>
      </c>
      <c r="F875" s="2" t="str">
        <f>_xlfn.XLOOKUP(C875,customers!$A874:$A1874,customers!$B874:$B1874,,0)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5">
        <f>INDEX(products!$A$1:$G$49,MATCH(orders!$D875,products!$A$1:$A$49,0),MATCH(orders!K$1,products!$A$1:$G$1,0))</f>
        <v>0.2</v>
      </c>
      <c r="L875" s="7">
        <f>INDEX(products!$A$1:$G$49,MATCH(orders!$D875,products!$A$1:$A$49,0),MATCH(orders!L$1,products!$A$1:$G$1,0))</f>
        <v>2.9849999999999999</v>
      </c>
      <c r="M875" s="7">
        <f t="shared" si="39"/>
        <v>11.94</v>
      </c>
      <c r="N875" t="str">
        <f t="shared" si="40"/>
        <v>Robusta</v>
      </c>
      <c r="O875" t="str">
        <f t="shared" si="41"/>
        <v>Medium</v>
      </c>
      <c r="P875" t="str">
        <f>_xlfn.XLOOKUP(Table1[[#This Row],[Customer ID]],customers!$A$1:$A$1001,customers!$I$1:$I$1001,,0)</f>
        <v>Yes</v>
      </c>
    </row>
    <row r="876" spans="1:16" x14ac:dyDescent="0.2">
      <c r="A876" s="2" t="s">
        <v>5433</v>
      </c>
      <c r="B876" s="3">
        <v>43680</v>
      </c>
      <c r="C876" s="2" t="s">
        <v>5434</v>
      </c>
      <c r="D876" t="s">
        <v>6140</v>
      </c>
      <c r="E876" s="2">
        <v>2</v>
      </c>
      <c r="F876" s="2" t="str">
        <f>_xlfn.XLOOKUP(C876,customers!$A875:$A1875,customers!$B875:$B1875,,0)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5">
        <f>INDEX(products!$A$1:$G$49,MATCH(orders!$D876,products!$A$1:$A$49,0),MATCH(orders!K$1,products!$A$1:$G$1,0))</f>
        <v>1</v>
      </c>
      <c r="L876" s="7">
        <f>INDEX(products!$A$1:$G$49,MATCH(orders!$D876,products!$A$1:$A$49,0),MATCH(orders!L$1,products!$A$1:$G$1,0))</f>
        <v>12.95</v>
      </c>
      <c r="M876" s="7">
        <f t="shared" si="39"/>
        <v>25.9</v>
      </c>
      <c r="N876" t="str">
        <f t="shared" si="40"/>
        <v>Arabica</v>
      </c>
      <c r="O876" t="str">
        <f t="shared" si="41"/>
        <v>Light</v>
      </c>
      <c r="P876" t="str">
        <f>_xlfn.XLOOKUP(Table1[[#This Row],[Customer ID]],customers!$A$1:$A$1001,customers!$I$1:$I$1001,,0)</f>
        <v>No</v>
      </c>
    </row>
    <row r="877" spans="1:16" x14ac:dyDescent="0.2">
      <c r="A877" s="2" t="s">
        <v>5439</v>
      </c>
      <c r="B877" s="3">
        <v>44253</v>
      </c>
      <c r="C877" s="2" t="s">
        <v>5440</v>
      </c>
      <c r="D877" t="s">
        <v>6160</v>
      </c>
      <c r="E877" s="2">
        <v>5</v>
      </c>
      <c r="F877" s="2" t="str">
        <f>_xlfn.XLOOKUP(C877,customers!$A876:$A1876,customers!$B876:$B1876,,0)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5">
        <f>INDEX(products!$A$1:$G$49,MATCH(orders!$D877,products!$A$1:$A$49,0),MATCH(orders!K$1,products!$A$1:$G$1,0))</f>
        <v>0.5</v>
      </c>
      <c r="L877" s="7">
        <f>INDEX(products!$A$1:$G$49,MATCH(orders!$D877,products!$A$1:$A$49,0),MATCH(orders!L$1,products!$A$1:$G$1,0))</f>
        <v>8.73</v>
      </c>
      <c r="M877" s="7">
        <f t="shared" si="39"/>
        <v>43.650000000000006</v>
      </c>
      <c r="N877" t="str">
        <f t="shared" si="40"/>
        <v>Liberica</v>
      </c>
      <c r="O877" t="str">
        <f t="shared" si="41"/>
        <v>Medium</v>
      </c>
      <c r="P877" t="str">
        <f>_xlfn.XLOOKUP(Table1[[#This Row],[Customer ID]],customers!$A$1:$A$1001,customers!$I$1:$I$1001,,0)</f>
        <v>No</v>
      </c>
    </row>
    <row r="878" spans="1:16" x14ac:dyDescent="0.2">
      <c r="A878" s="2" t="s">
        <v>5439</v>
      </c>
      <c r="B878" s="3">
        <v>44253</v>
      </c>
      <c r="C878" s="2" t="s">
        <v>5440</v>
      </c>
      <c r="D878" t="s">
        <v>6180</v>
      </c>
      <c r="E878" s="2">
        <v>6</v>
      </c>
      <c r="F878" s="2" t="str">
        <f>_xlfn.XLOOKUP(C878,customers!$A877:$A1877,customers!$B877:$B1877,,0)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5">
        <f>INDEX(products!$A$1:$G$49,MATCH(orders!$D878,products!$A$1:$A$49,0),MATCH(orders!K$1,products!$A$1:$G$1,0))</f>
        <v>0.5</v>
      </c>
      <c r="L878" s="7">
        <f>INDEX(products!$A$1:$G$49,MATCH(orders!$D878,products!$A$1:$A$49,0),MATCH(orders!L$1,products!$A$1:$G$1,0))</f>
        <v>7.77</v>
      </c>
      <c r="M878" s="7">
        <f t="shared" si="39"/>
        <v>46.62</v>
      </c>
      <c r="N878" t="str">
        <f t="shared" si="40"/>
        <v>Arabica</v>
      </c>
      <c r="O878" t="str">
        <f t="shared" si="41"/>
        <v>Light</v>
      </c>
      <c r="P878" t="str">
        <f>_xlfn.XLOOKUP(Table1[[#This Row],[Customer ID]],customers!$A$1:$A$1001,customers!$I$1:$I$1001,,0)</f>
        <v>No</v>
      </c>
    </row>
    <row r="879" spans="1:16" x14ac:dyDescent="0.2">
      <c r="A879" s="2" t="s">
        <v>5450</v>
      </c>
      <c r="B879" s="3">
        <v>44411</v>
      </c>
      <c r="C879" s="2" t="s">
        <v>5451</v>
      </c>
      <c r="D879" t="s">
        <v>6161</v>
      </c>
      <c r="E879" s="2">
        <v>3</v>
      </c>
      <c r="F879" s="2" t="str">
        <f>_xlfn.XLOOKUP(C879,customers!$A878:$A1878,customers!$B878:$B1878,,0)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5">
        <f>INDEX(products!$A$1:$G$49,MATCH(orders!$D879,products!$A$1:$A$49,0),MATCH(orders!K$1,products!$A$1:$G$1,0))</f>
        <v>0.5</v>
      </c>
      <c r="L879" s="7">
        <f>INDEX(products!$A$1:$G$49,MATCH(orders!$D879,products!$A$1:$A$49,0),MATCH(orders!L$1,products!$A$1:$G$1,0))</f>
        <v>9.51</v>
      </c>
      <c r="M879" s="7">
        <f t="shared" si="39"/>
        <v>28.53</v>
      </c>
      <c r="N879" t="str">
        <f t="shared" si="40"/>
        <v>Liberica</v>
      </c>
      <c r="O879" t="str">
        <f t="shared" si="41"/>
        <v>Light</v>
      </c>
      <c r="P879" t="str">
        <f>_xlfn.XLOOKUP(Table1[[#This Row],[Customer ID]],customers!$A$1:$A$1001,customers!$I$1:$I$1001,,0)</f>
        <v>No</v>
      </c>
    </row>
    <row r="880" spans="1:16" x14ac:dyDescent="0.2">
      <c r="A880" s="2" t="s">
        <v>5456</v>
      </c>
      <c r="B880" s="3">
        <v>44323</v>
      </c>
      <c r="C880" s="2" t="s">
        <v>5457</v>
      </c>
      <c r="D880" t="s">
        <v>6142</v>
      </c>
      <c r="E880" s="2">
        <v>1</v>
      </c>
      <c r="F880" s="2" t="str">
        <f>_xlfn.XLOOKUP(C880,customers!$A879:$A1879,customers!$B879:$B1879,,0)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5">
        <f>INDEX(products!$A$1:$G$49,MATCH(orders!$D880,products!$A$1:$A$49,0),MATCH(orders!K$1,products!$A$1:$G$1,0))</f>
        <v>2.5</v>
      </c>
      <c r="L880" s="7">
        <f>INDEX(products!$A$1:$G$49,MATCH(orders!$D880,products!$A$1:$A$49,0),MATCH(orders!L$1,products!$A$1:$G$1,0))</f>
        <v>27.484999999999996</v>
      </c>
      <c r="M880" s="7">
        <f t="shared" si="39"/>
        <v>27.484999999999996</v>
      </c>
      <c r="N880" t="str">
        <f t="shared" si="40"/>
        <v>Robusta</v>
      </c>
      <c r="O880" t="str">
        <f t="shared" si="41"/>
        <v>Light</v>
      </c>
      <c r="P880" t="str">
        <f>_xlfn.XLOOKUP(Table1[[#This Row],[Customer ID]],customers!$A$1:$A$1001,customers!$I$1:$I$1001,,0)</f>
        <v>Yes</v>
      </c>
    </row>
    <row r="881" spans="1:16" x14ac:dyDescent="0.2">
      <c r="A881" s="2" t="s">
        <v>5461</v>
      </c>
      <c r="B881" s="3">
        <v>43630</v>
      </c>
      <c r="C881" s="2" t="s">
        <v>5462</v>
      </c>
      <c r="D881" t="s">
        <v>6153</v>
      </c>
      <c r="E881" s="2">
        <v>3</v>
      </c>
      <c r="F881" s="2" t="str">
        <f>_xlfn.XLOOKUP(C881,customers!$A880:$A1880,customers!$B880:$B1880,,0)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5">
        <f>INDEX(products!$A$1:$G$49,MATCH(orders!$D881,products!$A$1:$A$49,0),MATCH(orders!K$1,products!$A$1:$G$1,0))</f>
        <v>0.2</v>
      </c>
      <c r="L881" s="7">
        <f>INDEX(products!$A$1:$G$49,MATCH(orders!$D881,products!$A$1:$A$49,0),MATCH(orders!L$1,products!$A$1:$G$1,0))</f>
        <v>3.645</v>
      </c>
      <c r="M881" s="7">
        <f t="shared" si="39"/>
        <v>10.935</v>
      </c>
      <c r="N881" t="str">
        <f t="shared" si="40"/>
        <v>Excelsa</v>
      </c>
      <c r="O881" t="str">
        <f t="shared" si="41"/>
        <v>Dark</v>
      </c>
      <c r="P881" t="str">
        <f>_xlfn.XLOOKUP(Table1[[#This Row],[Customer ID]],customers!$A$1:$A$1001,customers!$I$1:$I$1001,,0)</f>
        <v>No</v>
      </c>
    </row>
    <row r="882" spans="1:16" x14ac:dyDescent="0.2">
      <c r="A882" s="2" t="s">
        <v>5466</v>
      </c>
      <c r="B882" s="3">
        <v>43790</v>
      </c>
      <c r="C882" s="2" t="s">
        <v>5467</v>
      </c>
      <c r="D882" t="s">
        <v>6178</v>
      </c>
      <c r="E882" s="2">
        <v>2</v>
      </c>
      <c r="F882" s="2" t="str">
        <f>_xlfn.XLOOKUP(C882,customers!$A881:$A1881,customers!$B881:$B1881,,0)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5">
        <f>INDEX(products!$A$1:$G$49,MATCH(orders!$D882,products!$A$1:$A$49,0),MATCH(orders!K$1,products!$A$1:$G$1,0))</f>
        <v>0.2</v>
      </c>
      <c r="L882" s="7">
        <f>INDEX(products!$A$1:$G$49,MATCH(orders!$D882,products!$A$1:$A$49,0),MATCH(orders!L$1,products!$A$1:$G$1,0))</f>
        <v>3.5849999999999995</v>
      </c>
      <c r="M882" s="7">
        <f t="shared" si="39"/>
        <v>7.169999999999999</v>
      </c>
      <c r="N882" t="str">
        <f t="shared" si="40"/>
        <v>Robusta</v>
      </c>
      <c r="O882" t="str">
        <f t="shared" si="41"/>
        <v>Light</v>
      </c>
      <c r="P882" t="str">
        <f>_xlfn.XLOOKUP(Table1[[#This Row],[Customer ID]],customers!$A$1:$A$1001,customers!$I$1:$I$1001,,0)</f>
        <v>No</v>
      </c>
    </row>
    <row r="883" spans="1:16" x14ac:dyDescent="0.2">
      <c r="A883" s="2" t="s">
        <v>5472</v>
      </c>
      <c r="B883" s="3">
        <v>44286</v>
      </c>
      <c r="C883" s="2" t="s">
        <v>5473</v>
      </c>
      <c r="D883" t="s">
        <v>6167</v>
      </c>
      <c r="E883" s="2">
        <v>6</v>
      </c>
      <c r="F883" s="2" t="str">
        <f>_xlfn.XLOOKUP(C883,customers!$A882:$A1882,customers!$B882:$B1882,,0)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5">
        <f>INDEX(products!$A$1:$G$49,MATCH(orders!$D883,products!$A$1:$A$49,0),MATCH(orders!K$1,products!$A$1:$G$1,0))</f>
        <v>0.2</v>
      </c>
      <c r="L883" s="7">
        <f>INDEX(products!$A$1:$G$49,MATCH(orders!$D883,products!$A$1:$A$49,0),MATCH(orders!L$1,products!$A$1:$G$1,0))</f>
        <v>3.8849999999999998</v>
      </c>
      <c r="M883" s="7">
        <f t="shared" si="39"/>
        <v>23.31</v>
      </c>
      <c r="N883" t="str">
        <f t="shared" si="40"/>
        <v>Arabica</v>
      </c>
      <c r="O883" t="str">
        <f t="shared" si="41"/>
        <v>Light</v>
      </c>
      <c r="P883" t="str">
        <f>_xlfn.XLOOKUP(Table1[[#This Row],[Customer ID]],customers!$A$1:$A$1001,customers!$I$1:$I$1001,,0)</f>
        <v>Yes</v>
      </c>
    </row>
    <row r="884" spans="1:16" x14ac:dyDescent="0.2">
      <c r="A884" s="2" t="s">
        <v>5477</v>
      </c>
      <c r="B884" s="3">
        <v>43647</v>
      </c>
      <c r="C884" s="2" t="s">
        <v>5526</v>
      </c>
      <c r="D884" t="s">
        <v>6168</v>
      </c>
      <c r="E884" s="2">
        <v>5</v>
      </c>
      <c r="F884" s="2" t="str">
        <f>_xlfn.XLOOKUP(C884,customers!$A883:$A1883,customers!$B883:$B1883,,0)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5">
        <f>INDEX(products!$A$1:$G$49,MATCH(orders!$D884,products!$A$1:$A$49,0),MATCH(orders!K$1,products!$A$1:$G$1,0))</f>
        <v>2.5</v>
      </c>
      <c r="L884" s="7">
        <f>INDEX(products!$A$1:$G$49,MATCH(orders!$D884,products!$A$1:$A$49,0),MATCH(orders!L$1,products!$A$1:$G$1,0))</f>
        <v>22.884999999999998</v>
      </c>
      <c r="M884" s="7">
        <f t="shared" si="39"/>
        <v>114.42499999999998</v>
      </c>
      <c r="N884" t="str">
        <f t="shared" si="40"/>
        <v>Arabica</v>
      </c>
      <c r="O884" t="str">
        <f t="shared" si="41"/>
        <v>Dark</v>
      </c>
      <c r="P884" t="str">
        <f>_xlfn.XLOOKUP(Table1[[#This Row],[Customer ID]],customers!$A$1:$A$1001,customers!$I$1:$I$1001,,0)</f>
        <v>Yes</v>
      </c>
    </row>
    <row r="885" spans="1:16" x14ac:dyDescent="0.2">
      <c r="A885" s="2" t="s">
        <v>5483</v>
      </c>
      <c r="B885" s="3">
        <v>43956</v>
      </c>
      <c r="C885" s="2" t="s">
        <v>5484</v>
      </c>
      <c r="D885" t="s">
        <v>6175</v>
      </c>
      <c r="E885" s="2">
        <v>3</v>
      </c>
      <c r="F885" s="2" t="str">
        <f>_xlfn.XLOOKUP(C885,customers!$A884:$A1884,customers!$B884:$B1884,,0)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5">
        <f>INDEX(products!$A$1:$G$49,MATCH(orders!$D885,products!$A$1:$A$49,0),MATCH(orders!K$1,products!$A$1:$G$1,0))</f>
        <v>2.5</v>
      </c>
      <c r="L885" s="7">
        <f>INDEX(products!$A$1:$G$49,MATCH(orders!$D885,products!$A$1:$A$49,0),MATCH(orders!L$1,products!$A$1:$G$1,0))</f>
        <v>25.874999999999996</v>
      </c>
      <c r="M885" s="7">
        <f t="shared" si="39"/>
        <v>77.624999999999986</v>
      </c>
      <c r="N885" t="str">
        <f t="shared" si="40"/>
        <v>Arabica</v>
      </c>
      <c r="O885" t="str">
        <f t="shared" si="41"/>
        <v>Medium</v>
      </c>
      <c r="P885" t="str">
        <f>_xlfn.XLOOKUP(Table1[[#This Row],[Customer ID]],customers!$A$1:$A$1001,customers!$I$1:$I$1001,,0)</f>
        <v>Yes</v>
      </c>
    </row>
    <row r="886" spans="1:16" x14ac:dyDescent="0.2">
      <c r="A886" s="2" t="s">
        <v>5489</v>
      </c>
      <c r="B886" s="3">
        <v>43941</v>
      </c>
      <c r="C886" s="2" t="s">
        <v>5490</v>
      </c>
      <c r="D886" t="s">
        <v>6172</v>
      </c>
      <c r="E886" s="2">
        <v>1</v>
      </c>
      <c r="F886" s="2" t="str">
        <f>_xlfn.XLOOKUP(C886,customers!$A885:$A1885,customers!$B885:$B1885,,0)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5">
        <f>INDEX(products!$A$1:$G$49,MATCH(orders!$D886,products!$A$1:$A$49,0),MATCH(orders!K$1,products!$A$1:$G$1,0))</f>
        <v>0.5</v>
      </c>
      <c r="L886" s="7">
        <f>INDEX(products!$A$1:$G$49,MATCH(orders!$D886,products!$A$1:$A$49,0),MATCH(orders!L$1,products!$A$1:$G$1,0))</f>
        <v>5.3699999999999992</v>
      </c>
      <c r="M886" s="7">
        <f t="shared" si="39"/>
        <v>5.3699999999999992</v>
      </c>
      <c r="N886" t="str">
        <f t="shared" si="40"/>
        <v>Robusta</v>
      </c>
      <c r="O886" t="str">
        <f t="shared" si="41"/>
        <v>Dark</v>
      </c>
      <c r="P886" t="str">
        <f>_xlfn.XLOOKUP(Table1[[#This Row],[Customer ID]],customers!$A$1:$A$1001,customers!$I$1:$I$1001,,0)</f>
        <v>Yes</v>
      </c>
    </row>
    <row r="887" spans="1:16" x14ac:dyDescent="0.2">
      <c r="A887" s="2" t="s">
        <v>5495</v>
      </c>
      <c r="B887" s="3">
        <v>43664</v>
      </c>
      <c r="C887" s="2" t="s">
        <v>5496</v>
      </c>
      <c r="D887" t="s">
        <v>6149</v>
      </c>
      <c r="E887" s="2">
        <v>6</v>
      </c>
      <c r="F887" s="2" t="str">
        <f>_xlfn.XLOOKUP(C887,customers!$A886:$A1886,customers!$B886:$B1886,,0)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5">
        <f>INDEX(products!$A$1:$G$49,MATCH(orders!$D887,products!$A$1:$A$49,0),MATCH(orders!K$1,products!$A$1:$G$1,0))</f>
        <v>2.5</v>
      </c>
      <c r="L887" s="7">
        <f>INDEX(products!$A$1:$G$49,MATCH(orders!$D887,products!$A$1:$A$49,0),MATCH(orders!L$1,products!$A$1:$G$1,0))</f>
        <v>20.584999999999997</v>
      </c>
      <c r="M887" s="7">
        <f t="shared" si="39"/>
        <v>123.50999999999999</v>
      </c>
      <c r="N887" t="str">
        <f t="shared" si="40"/>
        <v>Robusta</v>
      </c>
      <c r="O887" t="str">
        <f t="shared" si="41"/>
        <v>Dark</v>
      </c>
      <c r="P887" t="str">
        <f>_xlfn.XLOOKUP(Table1[[#This Row],[Customer ID]],customers!$A$1:$A$1001,customers!$I$1:$I$1001,,0)</f>
        <v>No</v>
      </c>
    </row>
    <row r="888" spans="1:16" x14ac:dyDescent="0.2">
      <c r="A888" s="2" t="s">
        <v>5501</v>
      </c>
      <c r="B888" s="3">
        <v>44518</v>
      </c>
      <c r="C888" s="2" t="s">
        <v>5502</v>
      </c>
      <c r="D888" t="s">
        <v>6160</v>
      </c>
      <c r="E888" s="2">
        <v>2</v>
      </c>
      <c r="F888" s="2" t="str">
        <f>_xlfn.XLOOKUP(C888,customers!$A887:$A1887,customers!$B887:$B1887,,0)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5">
        <f>INDEX(products!$A$1:$G$49,MATCH(orders!$D888,products!$A$1:$A$49,0),MATCH(orders!K$1,products!$A$1:$G$1,0))</f>
        <v>0.5</v>
      </c>
      <c r="L888" s="7">
        <f>INDEX(products!$A$1:$G$49,MATCH(orders!$D888,products!$A$1:$A$49,0),MATCH(orders!L$1,products!$A$1:$G$1,0))</f>
        <v>8.73</v>
      </c>
      <c r="M888" s="7">
        <f t="shared" si="39"/>
        <v>17.46</v>
      </c>
      <c r="N888" t="str">
        <f t="shared" si="40"/>
        <v>Liberica</v>
      </c>
      <c r="O888" t="str">
        <f t="shared" si="41"/>
        <v>Medium</v>
      </c>
      <c r="P888" t="str">
        <f>_xlfn.XLOOKUP(Table1[[#This Row],[Customer ID]],customers!$A$1:$A$1001,customers!$I$1:$I$1001,,0)</f>
        <v>No</v>
      </c>
    </row>
    <row r="889" spans="1:16" x14ac:dyDescent="0.2">
      <c r="A889" s="2" t="s">
        <v>5507</v>
      </c>
      <c r="B889" s="3">
        <v>44002</v>
      </c>
      <c r="C889" s="2" t="s">
        <v>5508</v>
      </c>
      <c r="D889" t="s">
        <v>6184</v>
      </c>
      <c r="E889" s="2">
        <v>3</v>
      </c>
      <c r="F889" s="2" t="str">
        <f>_xlfn.XLOOKUP(C889,customers!$A888:$A1888,customers!$B888:$B1888,,0)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5">
        <f>INDEX(products!$A$1:$G$49,MATCH(orders!$D889,products!$A$1:$A$49,0),MATCH(orders!K$1,products!$A$1:$G$1,0))</f>
        <v>0.2</v>
      </c>
      <c r="L889" s="7">
        <f>INDEX(products!$A$1:$G$49,MATCH(orders!$D889,products!$A$1:$A$49,0),MATCH(orders!L$1,products!$A$1:$G$1,0))</f>
        <v>4.4550000000000001</v>
      </c>
      <c r="M889" s="7">
        <f t="shared" si="39"/>
        <v>13.365</v>
      </c>
      <c r="N889" t="str">
        <f t="shared" si="40"/>
        <v>Excelsa</v>
      </c>
      <c r="O889" t="str">
        <f t="shared" si="41"/>
        <v>Light</v>
      </c>
      <c r="P889" t="str">
        <f>_xlfn.XLOOKUP(Table1[[#This Row],[Customer ID]],customers!$A$1:$A$1001,customers!$I$1:$I$1001,,0)</f>
        <v>No</v>
      </c>
    </row>
    <row r="890" spans="1:16" x14ac:dyDescent="0.2">
      <c r="A890" s="2" t="s">
        <v>5513</v>
      </c>
      <c r="B890" s="3">
        <v>44292</v>
      </c>
      <c r="C890" s="2" t="s">
        <v>5514</v>
      </c>
      <c r="D890" t="s">
        <v>6167</v>
      </c>
      <c r="E890" s="2">
        <v>2</v>
      </c>
      <c r="F890" s="2" t="str">
        <f>_xlfn.XLOOKUP(C890,customers!$A889:$A1889,customers!$B889:$B1889,,0)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5">
        <f>INDEX(products!$A$1:$G$49,MATCH(orders!$D890,products!$A$1:$A$49,0),MATCH(orders!K$1,products!$A$1:$G$1,0))</f>
        <v>0.2</v>
      </c>
      <c r="L890" s="7">
        <f>INDEX(products!$A$1:$G$49,MATCH(orders!$D890,products!$A$1:$A$49,0),MATCH(orders!L$1,products!$A$1:$G$1,0))</f>
        <v>3.8849999999999998</v>
      </c>
      <c r="M890" s="7">
        <f t="shared" si="39"/>
        <v>7.77</v>
      </c>
      <c r="N890" t="str">
        <f t="shared" si="40"/>
        <v>Arabica</v>
      </c>
      <c r="O890" t="str">
        <f t="shared" si="41"/>
        <v>Light</v>
      </c>
      <c r="P890" t="str">
        <f>_xlfn.XLOOKUP(Table1[[#This Row],[Customer ID]],customers!$A$1:$A$1001,customers!$I$1:$I$1001,,0)</f>
        <v>Yes</v>
      </c>
    </row>
    <row r="891" spans="1:16" x14ac:dyDescent="0.2">
      <c r="A891" s="2" t="s">
        <v>5519</v>
      </c>
      <c r="B891" s="3">
        <v>43633</v>
      </c>
      <c r="C891" s="2" t="s">
        <v>5520</v>
      </c>
      <c r="D891" t="s">
        <v>6163</v>
      </c>
      <c r="E891" s="2">
        <v>1</v>
      </c>
      <c r="F891" s="2" t="str">
        <f>_xlfn.XLOOKUP(C891,customers!$A890:$A1890,customers!$B890:$B1890,,0)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5">
        <f>INDEX(products!$A$1:$G$49,MATCH(orders!$D891,products!$A$1:$A$49,0),MATCH(orders!K$1,products!$A$1:$G$1,0))</f>
        <v>0.2</v>
      </c>
      <c r="L891" s="7">
        <f>INDEX(products!$A$1:$G$49,MATCH(orders!$D891,products!$A$1:$A$49,0),MATCH(orders!L$1,products!$A$1:$G$1,0))</f>
        <v>2.6849999999999996</v>
      </c>
      <c r="M891" s="7">
        <f t="shared" si="39"/>
        <v>2.6849999999999996</v>
      </c>
      <c r="N891" t="str">
        <f t="shared" si="40"/>
        <v>Robusta</v>
      </c>
      <c r="O891" t="str">
        <f t="shared" si="41"/>
        <v>Dark</v>
      </c>
      <c r="P891" t="str">
        <f>_xlfn.XLOOKUP(Table1[[#This Row],[Customer ID]],customers!$A$1:$A$1001,customers!$I$1:$I$1001,,0)</f>
        <v>Yes</v>
      </c>
    </row>
    <row r="892" spans="1:16" x14ac:dyDescent="0.2">
      <c r="A892" s="2" t="s">
        <v>5525</v>
      </c>
      <c r="B892" s="3">
        <v>44646</v>
      </c>
      <c r="C892" s="2" t="s">
        <v>5526</v>
      </c>
      <c r="D892" t="s">
        <v>6149</v>
      </c>
      <c r="E892" s="2">
        <v>1</v>
      </c>
      <c r="F892" s="2" t="str">
        <f>_xlfn.XLOOKUP(C892,customers!$A891:$A1891,customers!$B891:$B1891,,0)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5">
        <f>INDEX(products!$A$1:$G$49,MATCH(orders!$D892,products!$A$1:$A$49,0),MATCH(orders!K$1,products!$A$1:$G$1,0))</f>
        <v>2.5</v>
      </c>
      <c r="L892" s="7">
        <f>INDEX(products!$A$1:$G$49,MATCH(orders!$D892,products!$A$1:$A$49,0),MATCH(orders!L$1,products!$A$1:$G$1,0))</f>
        <v>20.584999999999997</v>
      </c>
      <c r="M892" s="7">
        <f t="shared" si="39"/>
        <v>20.584999999999997</v>
      </c>
      <c r="N892" t="str">
        <f t="shared" si="40"/>
        <v>Robusta</v>
      </c>
      <c r="O892" t="str">
        <f t="shared" si="41"/>
        <v>Dark</v>
      </c>
      <c r="P892" t="str">
        <f>_xlfn.XLOOKUP(Table1[[#This Row],[Customer ID]],customers!$A$1:$A$1001,customers!$I$1:$I$1001,,0)</f>
        <v>Yes</v>
      </c>
    </row>
    <row r="893" spans="1:16" x14ac:dyDescent="0.2">
      <c r="A893" s="2" t="s">
        <v>5531</v>
      </c>
      <c r="B893" s="3">
        <v>44469</v>
      </c>
      <c r="C893" s="2" t="s">
        <v>5532</v>
      </c>
      <c r="D893" t="s">
        <v>6168</v>
      </c>
      <c r="E893" s="2">
        <v>5</v>
      </c>
      <c r="F893" s="2" t="str">
        <f>_xlfn.XLOOKUP(C893,customers!$A892:$A1892,customers!$B892:$B1892,,0)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5">
        <f>INDEX(products!$A$1:$G$49,MATCH(orders!$D893,products!$A$1:$A$49,0),MATCH(orders!K$1,products!$A$1:$G$1,0))</f>
        <v>2.5</v>
      </c>
      <c r="L893" s="7">
        <f>INDEX(products!$A$1:$G$49,MATCH(orders!$D893,products!$A$1:$A$49,0),MATCH(orders!L$1,products!$A$1:$G$1,0))</f>
        <v>22.884999999999998</v>
      </c>
      <c r="M893" s="7">
        <f t="shared" si="39"/>
        <v>114.42499999999998</v>
      </c>
      <c r="N893" t="str">
        <f t="shared" si="40"/>
        <v>Arabica</v>
      </c>
      <c r="O893" t="str">
        <f t="shared" si="41"/>
        <v>Dark</v>
      </c>
      <c r="P893" t="str">
        <f>_xlfn.XLOOKUP(Table1[[#This Row],[Customer ID]],customers!$A$1:$A$1001,customers!$I$1:$I$1001,,0)</f>
        <v>Yes</v>
      </c>
    </row>
    <row r="894" spans="1:16" x14ac:dyDescent="0.2">
      <c r="A894" s="2" t="s">
        <v>5537</v>
      </c>
      <c r="B894" s="3">
        <v>43635</v>
      </c>
      <c r="C894" s="2" t="s">
        <v>5538</v>
      </c>
      <c r="D894" t="s">
        <v>6156</v>
      </c>
      <c r="E894" s="2">
        <v>5</v>
      </c>
      <c r="F894" s="2" t="str">
        <f>_xlfn.XLOOKUP(C894,customers!$A893:$A1893,customers!$B893:$B1893,,0)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5">
        <f>INDEX(products!$A$1:$G$49,MATCH(orders!$D894,products!$A$1:$A$49,0),MATCH(orders!K$1,products!$A$1:$G$1,0))</f>
        <v>0.2</v>
      </c>
      <c r="L894" s="7">
        <f>INDEX(products!$A$1:$G$49,MATCH(orders!$D894,products!$A$1:$A$49,0),MATCH(orders!L$1,products!$A$1:$G$1,0))</f>
        <v>4.125</v>
      </c>
      <c r="M894" s="7">
        <f t="shared" si="39"/>
        <v>20.625</v>
      </c>
      <c r="N894" t="str">
        <f t="shared" si="40"/>
        <v>Excelsa</v>
      </c>
      <c r="O894" t="str">
        <f t="shared" si="41"/>
        <v>Medium</v>
      </c>
      <c r="P894" t="str">
        <f>_xlfn.XLOOKUP(Table1[[#This Row],[Customer ID]],customers!$A$1:$A$1001,customers!$I$1:$I$1001,,0)</f>
        <v>No</v>
      </c>
    </row>
    <row r="895" spans="1:16" x14ac:dyDescent="0.2">
      <c r="A895" s="2" t="s">
        <v>5543</v>
      </c>
      <c r="B895" s="3">
        <v>44651</v>
      </c>
      <c r="C895" s="2" t="s">
        <v>5544</v>
      </c>
      <c r="D895" t="s">
        <v>6161</v>
      </c>
      <c r="E895" s="2">
        <v>6</v>
      </c>
      <c r="F895" s="2" t="str">
        <f>_xlfn.XLOOKUP(C895,customers!$A894:$A1894,customers!$B894:$B1894,,0)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5">
        <f>INDEX(products!$A$1:$G$49,MATCH(orders!$D895,products!$A$1:$A$49,0),MATCH(orders!K$1,products!$A$1:$G$1,0))</f>
        <v>0.5</v>
      </c>
      <c r="L895" s="7">
        <f>INDEX(products!$A$1:$G$49,MATCH(orders!$D895,products!$A$1:$A$49,0),MATCH(orders!L$1,products!$A$1:$G$1,0))</f>
        <v>9.51</v>
      </c>
      <c r="M895" s="7">
        <f t="shared" si="39"/>
        <v>57.06</v>
      </c>
      <c r="N895" t="str">
        <f t="shared" si="40"/>
        <v>Liberica</v>
      </c>
      <c r="O895" t="str">
        <f t="shared" si="41"/>
        <v>Light</v>
      </c>
      <c r="P895" t="str">
        <f>_xlfn.XLOOKUP(Table1[[#This Row],[Customer ID]],customers!$A$1:$A$1001,customers!$I$1:$I$1001,,0)</f>
        <v>Yes</v>
      </c>
    </row>
    <row r="896" spans="1:16" x14ac:dyDescent="0.2">
      <c r="A896" s="2" t="s">
        <v>5548</v>
      </c>
      <c r="B896" s="3">
        <v>44016</v>
      </c>
      <c r="C896" s="2" t="s">
        <v>5549</v>
      </c>
      <c r="D896" t="s">
        <v>6149</v>
      </c>
      <c r="E896" s="2">
        <v>4</v>
      </c>
      <c r="F896" s="2" t="str">
        <f>_xlfn.XLOOKUP(C896,customers!$A895:$A1895,customers!$B895:$B1895,,0)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5">
        <f>INDEX(products!$A$1:$G$49,MATCH(orders!$D896,products!$A$1:$A$49,0),MATCH(orders!K$1,products!$A$1:$G$1,0))</f>
        <v>2.5</v>
      </c>
      <c r="L896" s="7">
        <f>INDEX(products!$A$1:$G$49,MATCH(orders!$D896,products!$A$1:$A$49,0),MATCH(orders!L$1,products!$A$1:$G$1,0))</f>
        <v>20.584999999999997</v>
      </c>
      <c r="M896" s="7">
        <f t="shared" si="39"/>
        <v>82.339999999999989</v>
      </c>
      <c r="N896" t="str">
        <f t="shared" si="40"/>
        <v>Robusta</v>
      </c>
      <c r="O896" t="str">
        <f t="shared" si="41"/>
        <v>Dark</v>
      </c>
      <c r="P896" t="str">
        <f>_xlfn.XLOOKUP(Table1[[#This Row],[Customer ID]],customers!$A$1:$A$1001,customers!$I$1:$I$1001,,0)</f>
        <v>Yes</v>
      </c>
    </row>
    <row r="897" spans="1:16" x14ac:dyDescent="0.2">
      <c r="A897" s="2" t="s">
        <v>5553</v>
      </c>
      <c r="B897" s="3">
        <v>44521</v>
      </c>
      <c r="C897" s="2" t="s">
        <v>5554</v>
      </c>
      <c r="D897" t="s">
        <v>6166</v>
      </c>
      <c r="E897" s="2">
        <v>5</v>
      </c>
      <c r="F897" s="2" t="str">
        <f>_xlfn.XLOOKUP(C897,customers!$A896:$A1896,customers!$B896:$B1896,,0)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5">
        <f>INDEX(products!$A$1:$G$49,MATCH(orders!$D897,products!$A$1:$A$49,0),MATCH(orders!K$1,products!$A$1:$G$1,0))</f>
        <v>2.5</v>
      </c>
      <c r="L897" s="7">
        <f>INDEX(products!$A$1:$G$49,MATCH(orders!$D897,products!$A$1:$A$49,0),MATCH(orders!L$1,products!$A$1:$G$1,0))</f>
        <v>31.624999999999996</v>
      </c>
      <c r="M897" s="7">
        <f t="shared" si="39"/>
        <v>158.12499999999997</v>
      </c>
      <c r="N897" t="str">
        <f t="shared" si="40"/>
        <v>Excelsa</v>
      </c>
      <c r="O897" t="str">
        <f t="shared" si="41"/>
        <v>Medium</v>
      </c>
      <c r="P897" t="str">
        <f>_xlfn.XLOOKUP(Table1[[#This Row],[Customer ID]],customers!$A$1:$A$1001,customers!$I$1:$I$1001,,0)</f>
        <v>No</v>
      </c>
    </row>
    <row r="898" spans="1:16" x14ac:dyDescent="0.2">
      <c r="A898" s="2" t="s">
        <v>5558</v>
      </c>
      <c r="B898" s="3">
        <v>44347</v>
      </c>
      <c r="C898" s="2" t="s">
        <v>5559</v>
      </c>
      <c r="D898" t="s">
        <v>6172</v>
      </c>
      <c r="E898" s="2">
        <v>6</v>
      </c>
      <c r="F898" s="2" t="str">
        <f>_xlfn.XLOOKUP(C898,customers!$A897:$A1897,customers!$B897:$B1897,,0)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5">
        <f>INDEX(products!$A$1:$G$49,MATCH(orders!$D898,products!$A$1:$A$49,0),MATCH(orders!K$1,products!$A$1:$G$1,0))</f>
        <v>0.5</v>
      </c>
      <c r="L898" s="7">
        <f>INDEX(products!$A$1:$G$49,MATCH(orders!$D898,products!$A$1:$A$49,0),MATCH(orders!L$1,products!$A$1:$G$1,0))</f>
        <v>5.3699999999999992</v>
      </c>
      <c r="M898" s="7">
        <f t="shared" si="39"/>
        <v>32.22</v>
      </c>
      <c r="N898" t="str">
        <f t="shared" si="40"/>
        <v>Robusta</v>
      </c>
      <c r="O898" t="str">
        <f t="shared" si="41"/>
        <v>Dark</v>
      </c>
      <c r="P898" t="str">
        <f>_xlfn.XLOOKUP(Table1[[#This Row],[Customer ID]],customers!$A$1:$A$1001,customers!$I$1:$I$1001,,0)</f>
        <v>Yes</v>
      </c>
    </row>
    <row r="899" spans="1:16" x14ac:dyDescent="0.2">
      <c r="A899" s="2" t="s">
        <v>5564</v>
      </c>
      <c r="B899" s="3">
        <v>43932</v>
      </c>
      <c r="C899" s="2" t="s">
        <v>5565</v>
      </c>
      <c r="D899" t="s">
        <v>6183</v>
      </c>
      <c r="E899" s="2">
        <v>2</v>
      </c>
      <c r="F899" s="2" t="str">
        <f>_xlfn.XLOOKUP(C899,customers!$A898:$A1898,customers!$B898:$B1898,,0)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5">
        <f>INDEX(products!$A$1:$G$49,MATCH(orders!$D899,products!$A$1:$A$49,0),MATCH(orders!K$1,products!$A$1:$G$1,0))</f>
        <v>1</v>
      </c>
      <c r="L899" s="7">
        <f>INDEX(products!$A$1:$G$49,MATCH(orders!$D899,products!$A$1:$A$49,0),MATCH(orders!L$1,products!$A$1:$G$1,0))</f>
        <v>12.15</v>
      </c>
      <c r="M899" s="7">
        <f t="shared" ref="M899:M962" si="42">L899*E899</f>
        <v>24.3</v>
      </c>
      <c r="N899" t="str">
        <f t="shared" ref="N899:N962" si="43">IF(I899="Rob","Robusta",IF(I899="Ara","Arabica",IF(I899="Exc","Excelsa",IF(I899="Lib","Liberica",""))))</f>
        <v>Excelsa</v>
      </c>
      <c r="O899" t="str">
        <f t="shared" ref="O899:O962" si="44">IF(J899="M","Medium",IF(J899="L","Light",IF(J899="D","Dark","")))</f>
        <v>Dark</v>
      </c>
      <c r="P899" t="str">
        <f>_xlfn.XLOOKUP(Table1[[#This Row],[Customer ID]],customers!$A$1:$A$1001,customers!$I$1:$I$1001,,0)</f>
        <v>No</v>
      </c>
    </row>
    <row r="900" spans="1:16" x14ac:dyDescent="0.2">
      <c r="A900" s="2" t="s">
        <v>5570</v>
      </c>
      <c r="B900" s="3">
        <v>44089</v>
      </c>
      <c r="C900" s="2" t="s">
        <v>5571</v>
      </c>
      <c r="D900" t="s">
        <v>6173</v>
      </c>
      <c r="E900" s="2">
        <v>5</v>
      </c>
      <c r="F900" s="2" t="str">
        <f>_xlfn.XLOOKUP(C900,customers!$A899:$A1899,customers!$B899:$B1899,,0)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5">
        <f>INDEX(products!$A$1:$G$49,MATCH(orders!$D900,products!$A$1:$A$49,0),MATCH(orders!K$1,products!$A$1:$G$1,0))</f>
        <v>0.5</v>
      </c>
      <c r="L900" s="7">
        <f>INDEX(products!$A$1:$G$49,MATCH(orders!$D900,products!$A$1:$A$49,0),MATCH(orders!L$1,products!$A$1:$G$1,0))</f>
        <v>7.169999999999999</v>
      </c>
      <c r="M900" s="7">
        <f t="shared" si="42"/>
        <v>35.849999999999994</v>
      </c>
      <c r="N900" t="str">
        <f t="shared" si="43"/>
        <v>Robusta</v>
      </c>
      <c r="O900" t="str">
        <f t="shared" si="44"/>
        <v>Light</v>
      </c>
      <c r="P900" t="str">
        <f>_xlfn.XLOOKUP(Table1[[#This Row],[Customer ID]],customers!$A$1:$A$1001,customers!$I$1:$I$1001,,0)</f>
        <v>No</v>
      </c>
    </row>
    <row r="901" spans="1:16" x14ac:dyDescent="0.2">
      <c r="A901" s="2" t="s">
        <v>5575</v>
      </c>
      <c r="B901" s="3">
        <v>44523</v>
      </c>
      <c r="C901" s="2" t="s">
        <v>5554</v>
      </c>
      <c r="D901" t="s">
        <v>6162</v>
      </c>
      <c r="E901" s="2">
        <v>5</v>
      </c>
      <c r="F901" s="2" t="e">
        <f>_xlfn.XLOOKUP(C901,customers!$A900:$A1900,customers!$B900:$B1900,,0)</f>
        <v>#N/A</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5">
        <f>INDEX(products!$A$1:$G$49,MATCH(orders!$D901,products!$A$1:$A$49,0),MATCH(orders!K$1,products!$A$1:$G$1,0))</f>
        <v>1</v>
      </c>
      <c r="L901" s="7">
        <f>INDEX(products!$A$1:$G$49,MATCH(orders!$D901,products!$A$1:$A$49,0),MATCH(orders!L$1,products!$A$1:$G$1,0))</f>
        <v>14.55</v>
      </c>
      <c r="M901" s="7">
        <f t="shared" si="42"/>
        <v>72.75</v>
      </c>
      <c r="N901" t="str">
        <f t="shared" si="43"/>
        <v>Liberica</v>
      </c>
      <c r="O901" t="str">
        <f t="shared" si="44"/>
        <v>Medium</v>
      </c>
      <c r="P901" t="str">
        <f>_xlfn.XLOOKUP(Table1[[#This Row],[Customer ID]],customers!$A$1:$A$1001,customers!$I$1:$I$1001,,0)</f>
        <v>No</v>
      </c>
    </row>
    <row r="902" spans="1:16" x14ac:dyDescent="0.2">
      <c r="A902" s="2" t="s">
        <v>5580</v>
      </c>
      <c r="B902" s="3">
        <v>44584</v>
      </c>
      <c r="C902" s="2" t="s">
        <v>5581</v>
      </c>
      <c r="D902" t="s">
        <v>6170</v>
      </c>
      <c r="E902" s="2">
        <v>3</v>
      </c>
      <c r="F902" s="2" t="str">
        <f>_xlfn.XLOOKUP(C902,customers!$A901:$A1901,customers!$B901:$B1901,,0)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5">
        <f>INDEX(products!$A$1:$G$49,MATCH(orders!$D902,products!$A$1:$A$49,0),MATCH(orders!K$1,products!$A$1:$G$1,0))</f>
        <v>1</v>
      </c>
      <c r="L902" s="7">
        <f>INDEX(products!$A$1:$G$49,MATCH(orders!$D902,products!$A$1:$A$49,0),MATCH(orders!L$1,products!$A$1:$G$1,0))</f>
        <v>15.85</v>
      </c>
      <c r="M902" s="7">
        <f t="shared" si="42"/>
        <v>47.55</v>
      </c>
      <c r="N902" t="str">
        <f t="shared" si="43"/>
        <v>Liberica</v>
      </c>
      <c r="O902" t="str">
        <f t="shared" si="44"/>
        <v>Light</v>
      </c>
      <c r="P902" t="str">
        <f>_xlfn.XLOOKUP(Table1[[#This Row],[Customer ID]],customers!$A$1:$A$1001,customers!$I$1:$I$1001,,0)</f>
        <v>No</v>
      </c>
    </row>
    <row r="903" spans="1:16" x14ac:dyDescent="0.2">
      <c r="A903" s="2" t="s">
        <v>5585</v>
      </c>
      <c r="B903" s="3">
        <v>44223</v>
      </c>
      <c r="C903" s="2" t="s">
        <v>5586</v>
      </c>
      <c r="D903" t="s">
        <v>6178</v>
      </c>
      <c r="E903" s="2">
        <v>1</v>
      </c>
      <c r="F903" s="2" t="str">
        <f>_xlfn.XLOOKUP(C903,customers!$A902:$A1902,customers!$B902:$B1902,,0)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5">
        <f>INDEX(products!$A$1:$G$49,MATCH(orders!$D903,products!$A$1:$A$49,0),MATCH(orders!K$1,products!$A$1:$G$1,0))</f>
        <v>0.2</v>
      </c>
      <c r="L903" s="7">
        <f>INDEX(products!$A$1:$G$49,MATCH(orders!$D903,products!$A$1:$A$49,0),MATCH(orders!L$1,products!$A$1:$G$1,0))</f>
        <v>3.5849999999999995</v>
      </c>
      <c r="M903" s="7">
        <f t="shared" si="42"/>
        <v>3.5849999999999995</v>
      </c>
      <c r="N903" t="str">
        <f t="shared" si="43"/>
        <v>Robusta</v>
      </c>
      <c r="O903" t="str">
        <f t="shared" si="44"/>
        <v>Light</v>
      </c>
      <c r="P903" t="str">
        <f>_xlfn.XLOOKUP(Table1[[#This Row],[Customer ID]],customers!$A$1:$A$1001,customers!$I$1:$I$1001,,0)</f>
        <v>Yes</v>
      </c>
    </row>
    <row r="904" spans="1:16" x14ac:dyDescent="0.2">
      <c r="A904" s="2" t="s">
        <v>5591</v>
      </c>
      <c r="B904" s="3">
        <v>43640</v>
      </c>
      <c r="C904" s="2" t="s">
        <v>5592</v>
      </c>
      <c r="D904" t="s">
        <v>6166</v>
      </c>
      <c r="E904" s="2">
        <v>5</v>
      </c>
      <c r="F904" s="2" t="str">
        <f>_xlfn.XLOOKUP(C904,customers!$A903:$A1903,customers!$B903:$B1903,,0)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5">
        <f>INDEX(products!$A$1:$G$49,MATCH(orders!$D904,products!$A$1:$A$49,0),MATCH(orders!K$1,products!$A$1:$G$1,0))</f>
        <v>2.5</v>
      </c>
      <c r="L904" s="7">
        <f>INDEX(products!$A$1:$G$49,MATCH(orders!$D904,products!$A$1:$A$49,0),MATCH(orders!L$1,products!$A$1:$G$1,0))</f>
        <v>31.624999999999996</v>
      </c>
      <c r="M904" s="7">
        <f t="shared" si="42"/>
        <v>158.12499999999997</v>
      </c>
      <c r="N904" t="str">
        <f t="shared" si="43"/>
        <v>Excelsa</v>
      </c>
      <c r="O904" t="str">
        <f t="shared" si="44"/>
        <v>Medium</v>
      </c>
      <c r="P904" t="str">
        <f>_xlfn.XLOOKUP(Table1[[#This Row],[Customer ID]],customers!$A$1:$A$1001,customers!$I$1:$I$1001,,0)</f>
        <v>No</v>
      </c>
    </row>
    <row r="905" spans="1:16" x14ac:dyDescent="0.2">
      <c r="A905" s="2" t="s">
        <v>5597</v>
      </c>
      <c r="B905" s="3">
        <v>43905</v>
      </c>
      <c r="C905" s="2" t="s">
        <v>5598</v>
      </c>
      <c r="D905" t="s">
        <v>6160</v>
      </c>
      <c r="E905" s="2">
        <v>2</v>
      </c>
      <c r="F905" s="2" t="str">
        <f>_xlfn.XLOOKUP(C905,customers!$A904:$A1904,customers!$B904:$B1904,,0)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5">
        <f>INDEX(products!$A$1:$G$49,MATCH(orders!$D905,products!$A$1:$A$49,0),MATCH(orders!K$1,products!$A$1:$G$1,0))</f>
        <v>0.5</v>
      </c>
      <c r="L905" s="7">
        <f>INDEX(products!$A$1:$G$49,MATCH(orders!$D905,products!$A$1:$A$49,0),MATCH(orders!L$1,products!$A$1:$G$1,0))</f>
        <v>8.73</v>
      </c>
      <c r="M905" s="7">
        <f t="shared" si="42"/>
        <v>17.46</v>
      </c>
      <c r="N905" t="str">
        <f t="shared" si="43"/>
        <v>Liberica</v>
      </c>
      <c r="O905" t="str">
        <f t="shared" si="44"/>
        <v>Medium</v>
      </c>
      <c r="P905" t="str">
        <f>_xlfn.XLOOKUP(Table1[[#This Row],[Customer ID]],customers!$A$1:$A$1001,customers!$I$1:$I$1001,,0)</f>
        <v>No</v>
      </c>
    </row>
    <row r="906" spans="1:16" x14ac:dyDescent="0.2">
      <c r="A906" s="2" t="s">
        <v>5603</v>
      </c>
      <c r="B906" s="3">
        <v>44463</v>
      </c>
      <c r="C906" s="2" t="s">
        <v>5604</v>
      </c>
      <c r="D906" t="s">
        <v>6182</v>
      </c>
      <c r="E906" s="2">
        <v>5</v>
      </c>
      <c r="F906" s="2" t="str">
        <f>_xlfn.XLOOKUP(C906,customers!$A905:$A1905,customers!$B905:$B1905,,0)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5">
        <f>INDEX(products!$A$1:$G$49,MATCH(orders!$D906,products!$A$1:$A$49,0),MATCH(orders!K$1,products!$A$1:$G$1,0))</f>
        <v>2.5</v>
      </c>
      <c r="L906" s="7">
        <f>INDEX(products!$A$1:$G$49,MATCH(orders!$D906,products!$A$1:$A$49,0),MATCH(orders!L$1,products!$A$1:$G$1,0))</f>
        <v>29.784999999999997</v>
      </c>
      <c r="M906" s="7">
        <f t="shared" si="42"/>
        <v>148.92499999999998</v>
      </c>
      <c r="N906" t="str">
        <f t="shared" si="43"/>
        <v>Arabica</v>
      </c>
      <c r="O906" t="str">
        <f t="shared" si="44"/>
        <v>Light</v>
      </c>
      <c r="P906" t="str">
        <f>_xlfn.XLOOKUP(Table1[[#This Row],[Customer ID]],customers!$A$1:$A$1001,customers!$I$1:$I$1001,,0)</f>
        <v>No</v>
      </c>
    </row>
    <row r="907" spans="1:16" x14ac:dyDescent="0.2">
      <c r="A907" s="2" t="s">
        <v>5609</v>
      </c>
      <c r="B907" s="3">
        <v>43560</v>
      </c>
      <c r="C907" s="2" t="s">
        <v>5610</v>
      </c>
      <c r="D907" t="s">
        <v>6157</v>
      </c>
      <c r="E907" s="2">
        <v>6</v>
      </c>
      <c r="F907" s="2" t="str">
        <f>_xlfn.XLOOKUP(C907,customers!$A906:$A1906,customers!$B906:$B1906,,0)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5">
        <f>INDEX(products!$A$1:$G$49,MATCH(orders!$D907,products!$A$1:$A$49,0),MATCH(orders!K$1,products!$A$1:$G$1,0))</f>
        <v>0.5</v>
      </c>
      <c r="L907" s="7">
        <f>INDEX(products!$A$1:$G$49,MATCH(orders!$D907,products!$A$1:$A$49,0),MATCH(orders!L$1,products!$A$1:$G$1,0))</f>
        <v>6.75</v>
      </c>
      <c r="M907" s="7">
        <f t="shared" si="42"/>
        <v>40.5</v>
      </c>
      <c r="N907" t="str">
        <f t="shared" si="43"/>
        <v>Arabica</v>
      </c>
      <c r="O907" t="str">
        <f t="shared" si="44"/>
        <v>Medium</v>
      </c>
      <c r="P907" t="str">
        <f>_xlfn.XLOOKUP(Table1[[#This Row],[Customer ID]],customers!$A$1:$A$1001,customers!$I$1:$I$1001,,0)</f>
        <v>Yes</v>
      </c>
    </row>
    <row r="908" spans="1:16" x14ac:dyDescent="0.2">
      <c r="A908" s="2" t="s">
        <v>5614</v>
      </c>
      <c r="B908" s="3">
        <v>44588</v>
      </c>
      <c r="C908" s="2" t="s">
        <v>5615</v>
      </c>
      <c r="D908" t="s">
        <v>6157</v>
      </c>
      <c r="E908" s="2">
        <v>4</v>
      </c>
      <c r="F908" s="2" t="str">
        <f>_xlfn.XLOOKUP(C908,customers!$A907:$A1907,customers!$B907:$B1907,,0)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5">
        <f>INDEX(products!$A$1:$G$49,MATCH(orders!$D908,products!$A$1:$A$49,0),MATCH(orders!K$1,products!$A$1:$G$1,0))</f>
        <v>0.5</v>
      </c>
      <c r="L908" s="7">
        <f>INDEX(products!$A$1:$G$49,MATCH(orders!$D908,products!$A$1:$A$49,0),MATCH(orders!L$1,products!$A$1:$G$1,0))</f>
        <v>6.75</v>
      </c>
      <c r="M908" s="7">
        <f t="shared" si="42"/>
        <v>27</v>
      </c>
      <c r="N908" t="str">
        <f t="shared" si="43"/>
        <v>Arabica</v>
      </c>
      <c r="O908" t="str">
        <f t="shared" si="44"/>
        <v>Medium</v>
      </c>
      <c r="P908" t="str">
        <f>_xlfn.XLOOKUP(Table1[[#This Row],[Customer ID]],customers!$A$1:$A$1001,customers!$I$1:$I$1001,,0)</f>
        <v>Yes</v>
      </c>
    </row>
    <row r="909" spans="1:16" x14ac:dyDescent="0.2">
      <c r="A909" s="2" t="s">
        <v>5620</v>
      </c>
      <c r="B909" s="3">
        <v>44449</v>
      </c>
      <c r="C909" s="2" t="s">
        <v>5621</v>
      </c>
      <c r="D909" t="s">
        <v>6143</v>
      </c>
      <c r="E909" s="2">
        <v>3</v>
      </c>
      <c r="F909" s="2" t="str">
        <f>_xlfn.XLOOKUP(C909,customers!$A908:$A1908,customers!$B908:$B1908,,0)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5">
        <f>INDEX(products!$A$1:$G$49,MATCH(orders!$D909,products!$A$1:$A$49,0),MATCH(orders!K$1,products!$A$1:$G$1,0))</f>
        <v>1</v>
      </c>
      <c r="L909" s="7">
        <f>INDEX(products!$A$1:$G$49,MATCH(orders!$D909,products!$A$1:$A$49,0),MATCH(orders!L$1,products!$A$1:$G$1,0))</f>
        <v>12.95</v>
      </c>
      <c r="M909" s="7">
        <f t="shared" si="42"/>
        <v>38.849999999999994</v>
      </c>
      <c r="N909" t="str">
        <f t="shared" si="43"/>
        <v>Liberica</v>
      </c>
      <c r="O909" t="str">
        <f t="shared" si="44"/>
        <v>Dark</v>
      </c>
      <c r="P909" t="str">
        <f>_xlfn.XLOOKUP(Table1[[#This Row],[Customer ID]],customers!$A$1:$A$1001,customers!$I$1:$I$1001,,0)</f>
        <v>No</v>
      </c>
    </row>
    <row r="910" spans="1:16" x14ac:dyDescent="0.2">
      <c r="A910" s="2" t="s">
        <v>5626</v>
      </c>
      <c r="B910" s="3">
        <v>43836</v>
      </c>
      <c r="C910" s="2" t="s">
        <v>5627</v>
      </c>
      <c r="D910" t="s">
        <v>6179</v>
      </c>
      <c r="E910" s="2">
        <v>5</v>
      </c>
      <c r="F910" s="2" t="str">
        <f>_xlfn.XLOOKUP(C910,customers!$A909:$A1909,customers!$B909:$B1909,,0)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5">
        <f>INDEX(products!$A$1:$G$49,MATCH(orders!$D910,products!$A$1:$A$49,0),MATCH(orders!K$1,products!$A$1:$G$1,0))</f>
        <v>1</v>
      </c>
      <c r="L910" s="7">
        <f>INDEX(products!$A$1:$G$49,MATCH(orders!$D910,products!$A$1:$A$49,0),MATCH(orders!L$1,products!$A$1:$G$1,0))</f>
        <v>11.95</v>
      </c>
      <c r="M910" s="7">
        <f t="shared" si="42"/>
        <v>59.75</v>
      </c>
      <c r="N910" t="str">
        <f t="shared" si="43"/>
        <v>Robusta</v>
      </c>
      <c r="O910" t="str">
        <f t="shared" si="44"/>
        <v>Light</v>
      </c>
      <c r="P910" t="str">
        <f>_xlfn.XLOOKUP(Table1[[#This Row],[Customer ID]],customers!$A$1:$A$1001,customers!$I$1:$I$1001,,0)</f>
        <v>No</v>
      </c>
    </row>
    <row r="911" spans="1:16" x14ac:dyDescent="0.2">
      <c r="A911" s="2" t="s">
        <v>5632</v>
      </c>
      <c r="B911" s="3">
        <v>44635</v>
      </c>
      <c r="C911" s="2" t="s">
        <v>5633</v>
      </c>
      <c r="D911" t="s">
        <v>6178</v>
      </c>
      <c r="E911" s="2">
        <v>3</v>
      </c>
      <c r="F911" s="2" t="str">
        <f>_xlfn.XLOOKUP(C911,customers!$A910:$A1910,customers!$B910:$B1910,,0)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5">
        <f>INDEX(products!$A$1:$G$49,MATCH(orders!$D911,products!$A$1:$A$49,0),MATCH(orders!K$1,products!$A$1:$G$1,0))</f>
        <v>0.2</v>
      </c>
      <c r="L911" s="7">
        <f>INDEX(products!$A$1:$G$49,MATCH(orders!$D911,products!$A$1:$A$49,0),MATCH(orders!L$1,products!$A$1:$G$1,0))</f>
        <v>3.5849999999999995</v>
      </c>
      <c r="M911" s="7">
        <f t="shared" si="42"/>
        <v>10.754999999999999</v>
      </c>
      <c r="N911" t="str">
        <f t="shared" si="43"/>
        <v>Robusta</v>
      </c>
      <c r="O911" t="str">
        <f t="shared" si="44"/>
        <v>Light</v>
      </c>
      <c r="P911" t="str">
        <f>_xlfn.XLOOKUP(Table1[[#This Row],[Customer ID]],customers!$A$1:$A$1001,customers!$I$1:$I$1001,,0)</f>
        <v>No</v>
      </c>
    </row>
    <row r="912" spans="1:16" x14ac:dyDescent="0.2">
      <c r="A912" s="2" t="s">
        <v>5637</v>
      </c>
      <c r="B912" s="3">
        <v>44447</v>
      </c>
      <c r="C912" s="2" t="s">
        <v>5638</v>
      </c>
      <c r="D912" t="s">
        <v>6168</v>
      </c>
      <c r="E912" s="2">
        <v>4</v>
      </c>
      <c r="F912" s="2" t="str">
        <f>_xlfn.XLOOKUP(C912,customers!$A911:$A1911,customers!$B911:$B1911,,0)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5">
        <f>INDEX(products!$A$1:$G$49,MATCH(orders!$D912,products!$A$1:$A$49,0),MATCH(orders!K$1,products!$A$1:$G$1,0))</f>
        <v>2.5</v>
      </c>
      <c r="L912" s="7">
        <f>INDEX(products!$A$1:$G$49,MATCH(orders!$D912,products!$A$1:$A$49,0),MATCH(orders!L$1,products!$A$1:$G$1,0))</f>
        <v>22.884999999999998</v>
      </c>
      <c r="M912" s="7">
        <f t="shared" si="42"/>
        <v>91.539999999999992</v>
      </c>
      <c r="N912" t="str">
        <f t="shared" si="43"/>
        <v>Arabica</v>
      </c>
      <c r="O912" t="str">
        <f t="shared" si="44"/>
        <v>Dark</v>
      </c>
      <c r="P912" t="str">
        <f>_xlfn.XLOOKUP(Table1[[#This Row],[Customer ID]],customers!$A$1:$A$1001,customers!$I$1:$I$1001,,0)</f>
        <v>No</v>
      </c>
    </row>
    <row r="913" spans="1:16" x14ac:dyDescent="0.2">
      <c r="A913" s="2" t="s">
        <v>5643</v>
      </c>
      <c r="B913" s="3">
        <v>44511</v>
      </c>
      <c r="C913" s="2" t="s">
        <v>5644</v>
      </c>
      <c r="D913" t="s">
        <v>6155</v>
      </c>
      <c r="E913" s="2">
        <v>4</v>
      </c>
      <c r="F913" s="2" t="str">
        <f>_xlfn.XLOOKUP(C913,customers!$A912:$A1912,customers!$B912:$B1912,,0)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5">
        <f>INDEX(products!$A$1:$G$49,MATCH(orders!$D913,products!$A$1:$A$49,0),MATCH(orders!K$1,products!$A$1:$G$1,0))</f>
        <v>1</v>
      </c>
      <c r="L913" s="7">
        <f>INDEX(products!$A$1:$G$49,MATCH(orders!$D913,products!$A$1:$A$49,0),MATCH(orders!L$1,products!$A$1:$G$1,0))</f>
        <v>11.25</v>
      </c>
      <c r="M913" s="7">
        <f t="shared" si="42"/>
        <v>45</v>
      </c>
      <c r="N913" t="str">
        <f t="shared" si="43"/>
        <v>Arabica</v>
      </c>
      <c r="O913" t="str">
        <f t="shared" si="44"/>
        <v>Medium</v>
      </c>
      <c r="P913" t="str">
        <f>_xlfn.XLOOKUP(Table1[[#This Row],[Customer ID]],customers!$A$1:$A$1001,customers!$I$1:$I$1001,,0)</f>
        <v>Yes</v>
      </c>
    </row>
    <row r="914" spans="1:16" x14ac:dyDescent="0.2">
      <c r="A914" s="2" t="s">
        <v>5649</v>
      </c>
      <c r="B914" s="3">
        <v>43726</v>
      </c>
      <c r="C914" s="2" t="s">
        <v>5650</v>
      </c>
      <c r="D914" t="s">
        <v>6151</v>
      </c>
      <c r="E914" s="2">
        <v>6</v>
      </c>
      <c r="F914" s="2" t="str">
        <f>_xlfn.XLOOKUP(C914,customers!$A913:$A1913,customers!$B913:$B1913,,0)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5">
        <f>INDEX(products!$A$1:$G$49,MATCH(orders!$D914,products!$A$1:$A$49,0),MATCH(orders!K$1,products!$A$1:$G$1,0))</f>
        <v>2.5</v>
      </c>
      <c r="L914" s="7">
        <f>INDEX(products!$A$1:$G$49,MATCH(orders!$D914,products!$A$1:$A$49,0),MATCH(orders!L$1,products!$A$1:$G$1,0))</f>
        <v>22.884999999999998</v>
      </c>
      <c r="M914" s="7">
        <f t="shared" si="42"/>
        <v>137.31</v>
      </c>
      <c r="N914" t="str">
        <f t="shared" si="43"/>
        <v>Robusta</v>
      </c>
      <c r="O914" t="str">
        <f t="shared" si="44"/>
        <v>Medium</v>
      </c>
      <c r="P914" t="str">
        <f>_xlfn.XLOOKUP(Table1[[#This Row],[Customer ID]],customers!$A$1:$A$1001,customers!$I$1:$I$1001,,0)</f>
        <v>Yes</v>
      </c>
    </row>
    <row r="915" spans="1:16" x14ac:dyDescent="0.2">
      <c r="A915" s="2" t="s">
        <v>5654</v>
      </c>
      <c r="B915" s="3">
        <v>44406</v>
      </c>
      <c r="C915" s="2" t="s">
        <v>5655</v>
      </c>
      <c r="D915" t="s">
        <v>6157</v>
      </c>
      <c r="E915" s="2">
        <v>1</v>
      </c>
      <c r="F915" s="2" t="str">
        <f>_xlfn.XLOOKUP(C915,customers!$A914:$A1914,customers!$B914:$B1914,,0)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5">
        <f>INDEX(products!$A$1:$G$49,MATCH(orders!$D915,products!$A$1:$A$49,0),MATCH(orders!K$1,products!$A$1:$G$1,0))</f>
        <v>0.5</v>
      </c>
      <c r="L915" s="7">
        <f>INDEX(products!$A$1:$G$49,MATCH(orders!$D915,products!$A$1:$A$49,0),MATCH(orders!L$1,products!$A$1:$G$1,0))</f>
        <v>6.75</v>
      </c>
      <c r="M915" s="7">
        <f t="shared" si="42"/>
        <v>6.75</v>
      </c>
      <c r="N915" t="str">
        <f t="shared" si="43"/>
        <v>Arabica</v>
      </c>
      <c r="O915" t="str">
        <f t="shared" si="44"/>
        <v>Medium</v>
      </c>
      <c r="P915" t="str">
        <f>_xlfn.XLOOKUP(Table1[[#This Row],[Customer ID]],customers!$A$1:$A$1001,customers!$I$1:$I$1001,,0)</f>
        <v>No</v>
      </c>
    </row>
    <row r="916" spans="1:16" x14ac:dyDescent="0.2">
      <c r="A916" s="2" t="s">
        <v>5660</v>
      </c>
      <c r="B916" s="3">
        <v>44640</v>
      </c>
      <c r="C916" s="2" t="s">
        <v>5661</v>
      </c>
      <c r="D916" t="s">
        <v>6155</v>
      </c>
      <c r="E916" s="2">
        <v>4</v>
      </c>
      <c r="F916" s="2" t="str">
        <f>_xlfn.XLOOKUP(C916,customers!$A915:$A1915,customers!$B915:$B1915,,0)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5">
        <f>INDEX(products!$A$1:$G$49,MATCH(orders!$D916,products!$A$1:$A$49,0),MATCH(orders!K$1,products!$A$1:$G$1,0))</f>
        <v>1</v>
      </c>
      <c r="L916" s="7">
        <f>INDEX(products!$A$1:$G$49,MATCH(orders!$D916,products!$A$1:$A$49,0),MATCH(orders!L$1,products!$A$1:$G$1,0))</f>
        <v>11.25</v>
      </c>
      <c r="M916" s="7">
        <f t="shared" si="42"/>
        <v>45</v>
      </c>
      <c r="N916" t="str">
        <f t="shared" si="43"/>
        <v>Arabica</v>
      </c>
      <c r="O916" t="str">
        <f t="shared" si="44"/>
        <v>Medium</v>
      </c>
      <c r="P916" t="str">
        <f>_xlfn.XLOOKUP(Table1[[#This Row],[Customer ID]],customers!$A$1:$A$1001,customers!$I$1:$I$1001,,0)</f>
        <v>No</v>
      </c>
    </row>
    <row r="917" spans="1:16" x14ac:dyDescent="0.2">
      <c r="A917" s="2" t="s">
        <v>5666</v>
      </c>
      <c r="B917" s="3">
        <v>43955</v>
      </c>
      <c r="C917" s="2" t="s">
        <v>5667</v>
      </c>
      <c r="D917" t="s">
        <v>6185</v>
      </c>
      <c r="E917" s="2">
        <v>3</v>
      </c>
      <c r="F917" s="2" t="str">
        <f>_xlfn.XLOOKUP(C917,customers!$A916:$A1916,customers!$B916:$B1916,,0)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5">
        <f>INDEX(products!$A$1:$G$49,MATCH(orders!$D917,products!$A$1:$A$49,0),MATCH(orders!K$1,products!$A$1:$G$1,0))</f>
        <v>2.5</v>
      </c>
      <c r="L917" s="7">
        <f>INDEX(products!$A$1:$G$49,MATCH(orders!$D917,products!$A$1:$A$49,0),MATCH(orders!L$1,products!$A$1:$G$1,0))</f>
        <v>27.945</v>
      </c>
      <c r="M917" s="7">
        <f t="shared" si="42"/>
        <v>83.835000000000008</v>
      </c>
      <c r="N917" t="str">
        <f t="shared" si="43"/>
        <v>Excelsa</v>
      </c>
      <c r="O917" t="str">
        <f t="shared" si="44"/>
        <v>Dark</v>
      </c>
      <c r="P917" t="str">
        <f>_xlfn.XLOOKUP(Table1[[#This Row],[Customer ID]],customers!$A$1:$A$1001,customers!$I$1:$I$1001,,0)</f>
        <v>Yes</v>
      </c>
    </row>
    <row r="918" spans="1:16" x14ac:dyDescent="0.2">
      <c r="A918" s="2" t="s">
        <v>5672</v>
      </c>
      <c r="B918" s="3">
        <v>44291</v>
      </c>
      <c r="C918" s="2" t="s">
        <v>5673</v>
      </c>
      <c r="D918" t="s">
        <v>6153</v>
      </c>
      <c r="E918" s="2">
        <v>1</v>
      </c>
      <c r="F918" s="2" t="str">
        <f>_xlfn.XLOOKUP(C918,customers!$A917:$A1917,customers!$B917:$B1917,,0)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5">
        <f>INDEX(products!$A$1:$G$49,MATCH(orders!$D918,products!$A$1:$A$49,0),MATCH(orders!K$1,products!$A$1:$G$1,0))</f>
        <v>0.2</v>
      </c>
      <c r="L918" s="7">
        <f>INDEX(products!$A$1:$G$49,MATCH(orders!$D918,products!$A$1:$A$49,0),MATCH(orders!L$1,products!$A$1:$G$1,0))</f>
        <v>3.645</v>
      </c>
      <c r="M918" s="7">
        <f t="shared" si="42"/>
        <v>3.645</v>
      </c>
      <c r="N918" t="str">
        <f t="shared" si="43"/>
        <v>Excelsa</v>
      </c>
      <c r="O918" t="str">
        <f t="shared" si="44"/>
        <v>Dark</v>
      </c>
      <c r="P918" t="str">
        <f>_xlfn.XLOOKUP(Table1[[#This Row],[Customer ID]],customers!$A$1:$A$1001,customers!$I$1:$I$1001,,0)</f>
        <v>Yes</v>
      </c>
    </row>
    <row r="919" spans="1:16" x14ac:dyDescent="0.2">
      <c r="A919" s="2" t="s">
        <v>5676</v>
      </c>
      <c r="B919" s="3">
        <v>44573</v>
      </c>
      <c r="C919" s="2" t="s">
        <v>5677</v>
      </c>
      <c r="D919" t="s">
        <v>6157</v>
      </c>
      <c r="E919" s="2">
        <v>1</v>
      </c>
      <c r="F919" s="2" t="str">
        <f>_xlfn.XLOOKUP(C919,customers!$A918:$A1918,customers!$B918:$B1918,,0)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5">
        <f>INDEX(products!$A$1:$G$49,MATCH(orders!$D919,products!$A$1:$A$49,0),MATCH(orders!K$1,products!$A$1:$G$1,0))</f>
        <v>0.5</v>
      </c>
      <c r="L919" s="7">
        <f>INDEX(products!$A$1:$G$49,MATCH(orders!$D919,products!$A$1:$A$49,0),MATCH(orders!L$1,products!$A$1:$G$1,0))</f>
        <v>6.75</v>
      </c>
      <c r="M919" s="7">
        <f t="shared" si="42"/>
        <v>6.75</v>
      </c>
      <c r="N919" t="str">
        <f t="shared" si="43"/>
        <v>Arabica</v>
      </c>
      <c r="O919" t="str">
        <f t="shared" si="44"/>
        <v>Medium</v>
      </c>
      <c r="P919" t="str">
        <f>_xlfn.XLOOKUP(Table1[[#This Row],[Customer ID]],customers!$A$1:$A$1001,customers!$I$1:$I$1001,,0)</f>
        <v>No</v>
      </c>
    </row>
    <row r="920" spans="1:16" x14ac:dyDescent="0.2">
      <c r="A920" s="2" t="s">
        <v>5676</v>
      </c>
      <c r="B920" s="3">
        <v>44573</v>
      </c>
      <c r="C920" s="2" t="s">
        <v>5677</v>
      </c>
      <c r="D920" t="s">
        <v>6144</v>
      </c>
      <c r="E920" s="2">
        <v>3</v>
      </c>
      <c r="F920" s="2" t="str">
        <f>_xlfn.XLOOKUP(C920,customers!$A919:$A1919,customers!$B919:$B1919,,0)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5">
        <f>INDEX(products!$A$1:$G$49,MATCH(orders!$D920,products!$A$1:$A$49,0),MATCH(orders!K$1,products!$A$1:$G$1,0))</f>
        <v>0.5</v>
      </c>
      <c r="L920" s="7">
        <f>INDEX(products!$A$1:$G$49,MATCH(orders!$D920,products!$A$1:$A$49,0),MATCH(orders!L$1,products!$A$1:$G$1,0))</f>
        <v>7.29</v>
      </c>
      <c r="M920" s="7">
        <f t="shared" si="42"/>
        <v>21.87</v>
      </c>
      <c r="N920" t="str">
        <f t="shared" si="43"/>
        <v>Excelsa</v>
      </c>
      <c r="O920" t="str">
        <f t="shared" si="44"/>
        <v>Dark</v>
      </c>
      <c r="P920" t="str">
        <f>_xlfn.XLOOKUP(Table1[[#This Row],[Customer ID]],customers!$A$1:$A$1001,customers!$I$1:$I$1001,,0)</f>
        <v>No</v>
      </c>
    </row>
    <row r="921" spans="1:16" x14ac:dyDescent="0.2">
      <c r="A921" s="2" t="s">
        <v>5687</v>
      </c>
      <c r="B921" s="3">
        <v>44181</v>
      </c>
      <c r="C921" s="2" t="s">
        <v>5688</v>
      </c>
      <c r="D921" t="s">
        <v>6163</v>
      </c>
      <c r="E921" s="2">
        <v>5</v>
      </c>
      <c r="F921" s="2" t="str">
        <f>_xlfn.XLOOKUP(C921,customers!$A920:$A1920,customers!$B920:$B1920,,0)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5">
        <f>INDEX(products!$A$1:$G$49,MATCH(orders!$D921,products!$A$1:$A$49,0),MATCH(orders!K$1,products!$A$1:$G$1,0))</f>
        <v>0.2</v>
      </c>
      <c r="L921" s="7">
        <f>INDEX(products!$A$1:$G$49,MATCH(orders!$D921,products!$A$1:$A$49,0),MATCH(orders!L$1,products!$A$1:$G$1,0))</f>
        <v>2.6849999999999996</v>
      </c>
      <c r="M921" s="7">
        <f t="shared" si="42"/>
        <v>13.424999999999997</v>
      </c>
      <c r="N921" t="str">
        <f t="shared" si="43"/>
        <v>Robusta</v>
      </c>
      <c r="O921" t="str">
        <f t="shared" si="44"/>
        <v>Dark</v>
      </c>
      <c r="P921" t="str">
        <f>_xlfn.XLOOKUP(Table1[[#This Row],[Customer ID]],customers!$A$1:$A$1001,customers!$I$1:$I$1001,,0)</f>
        <v>Yes</v>
      </c>
    </row>
    <row r="922" spans="1:16" x14ac:dyDescent="0.2">
      <c r="A922" s="2" t="s">
        <v>5693</v>
      </c>
      <c r="B922" s="3">
        <v>44711</v>
      </c>
      <c r="C922" s="2" t="s">
        <v>5694</v>
      </c>
      <c r="D922" t="s">
        <v>6149</v>
      </c>
      <c r="E922" s="2">
        <v>6</v>
      </c>
      <c r="F922" s="2" t="str">
        <f>_xlfn.XLOOKUP(C922,customers!$A921:$A1921,customers!$B921:$B1921,,0)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5">
        <f>INDEX(products!$A$1:$G$49,MATCH(orders!$D922,products!$A$1:$A$49,0),MATCH(orders!K$1,products!$A$1:$G$1,0))</f>
        <v>2.5</v>
      </c>
      <c r="L922" s="7">
        <f>INDEX(products!$A$1:$G$49,MATCH(orders!$D922,products!$A$1:$A$49,0),MATCH(orders!L$1,products!$A$1:$G$1,0))</f>
        <v>20.584999999999997</v>
      </c>
      <c r="M922" s="7">
        <f t="shared" si="42"/>
        <v>123.50999999999999</v>
      </c>
      <c r="N922" t="str">
        <f t="shared" si="43"/>
        <v>Robusta</v>
      </c>
      <c r="O922" t="str">
        <f t="shared" si="44"/>
        <v>Dark</v>
      </c>
      <c r="P922" t="str">
        <f>_xlfn.XLOOKUP(Table1[[#This Row],[Customer ID]],customers!$A$1:$A$1001,customers!$I$1:$I$1001,,0)</f>
        <v>No</v>
      </c>
    </row>
    <row r="923" spans="1:16" x14ac:dyDescent="0.2">
      <c r="A923" s="2" t="s">
        <v>5699</v>
      </c>
      <c r="B923" s="3">
        <v>44509</v>
      </c>
      <c r="C923" s="2" t="s">
        <v>5700</v>
      </c>
      <c r="D923" t="s">
        <v>6150</v>
      </c>
      <c r="E923" s="2">
        <v>2</v>
      </c>
      <c r="F923" s="2" t="str">
        <f>_xlfn.XLOOKUP(C923,customers!$A922:$A1922,customers!$B922:$B1922,,0)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5">
        <f>INDEX(products!$A$1:$G$49,MATCH(orders!$D923,products!$A$1:$A$49,0),MATCH(orders!K$1,products!$A$1:$G$1,0))</f>
        <v>0.2</v>
      </c>
      <c r="L923" s="7">
        <f>INDEX(products!$A$1:$G$49,MATCH(orders!$D923,products!$A$1:$A$49,0),MATCH(orders!L$1,products!$A$1:$G$1,0))</f>
        <v>3.8849999999999998</v>
      </c>
      <c r="M923" s="7">
        <f t="shared" si="42"/>
        <v>7.77</v>
      </c>
      <c r="N923" t="str">
        <f t="shared" si="43"/>
        <v>Liberica</v>
      </c>
      <c r="O923" t="str">
        <f t="shared" si="44"/>
        <v>Dark</v>
      </c>
      <c r="P923" t="str">
        <f>_xlfn.XLOOKUP(Table1[[#This Row],[Customer ID]],customers!$A$1:$A$1001,customers!$I$1:$I$1001,,0)</f>
        <v>No</v>
      </c>
    </row>
    <row r="924" spans="1:16" x14ac:dyDescent="0.2">
      <c r="A924" s="2" t="s">
        <v>5705</v>
      </c>
      <c r="B924" s="3">
        <v>44659</v>
      </c>
      <c r="C924" s="2" t="s">
        <v>5706</v>
      </c>
      <c r="D924" t="s">
        <v>6155</v>
      </c>
      <c r="E924" s="2">
        <v>6</v>
      </c>
      <c r="F924" s="2" t="str">
        <f>_xlfn.XLOOKUP(C924,customers!$A923:$A1923,customers!$B923:$B1923,,0)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5">
        <f>INDEX(products!$A$1:$G$49,MATCH(orders!$D924,products!$A$1:$A$49,0),MATCH(orders!K$1,products!$A$1:$G$1,0))</f>
        <v>1</v>
      </c>
      <c r="L924" s="7">
        <f>INDEX(products!$A$1:$G$49,MATCH(orders!$D924,products!$A$1:$A$49,0),MATCH(orders!L$1,products!$A$1:$G$1,0))</f>
        <v>11.25</v>
      </c>
      <c r="M924" s="7">
        <f t="shared" si="42"/>
        <v>67.5</v>
      </c>
      <c r="N924" t="str">
        <f t="shared" si="43"/>
        <v>Arabica</v>
      </c>
      <c r="O924" t="str">
        <f t="shared" si="44"/>
        <v>Medium</v>
      </c>
      <c r="P924" t="str">
        <f>_xlfn.XLOOKUP(Table1[[#This Row],[Customer ID]],customers!$A$1:$A$1001,customers!$I$1:$I$1001,,0)</f>
        <v>Yes</v>
      </c>
    </row>
    <row r="925" spans="1:16" x14ac:dyDescent="0.2">
      <c r="A925" s="2" t="s">
        <v>5709</v>
      </c>
      <c r="B925" s="3">
        <v>43746</v>
      </c>
      <c r="C925" s="2" t="s">
        <v>5710</v>
      </c>
      <c r="D925" t="s">
        <v>6185</v>
      </c>
      <c r="E925" s="2">
        <v>1</v>
      </c>
      <c r="F925" s="2" t="str">
        <f>_xlfn.XLOOKUP(C925,customers!$A924:$A1924,customers!$B924:$B1924,,0)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5">
        <f>INDEX(products!$A$1:$G$49,MATCH(orders!$D925,products!$A$1:$A$49,0),MATCH(orders!K$1,products!$A$1:$G$1,0))</f>
        <v>2.5</v>
      </c>
      <c r="L925" s="7">
        <f>INDEX(products!$A$1:$G$49,MATCH(orders!$D925,products!$A$1:$A$49,0),MATCH(orders!L$1,products!$A$1:$G$1,0))</f>
        <v>27.945</v>
      </c>
      <c r="M925" s="7">
        <f t="shared" si="42"/>
        <v>27.945</v>
      </c>
      <c r="N925" t="str">
        <f t="shared" si="43"/>
        <v>Excelsa</v>
      </c>
      <c r="O925" t="str">
        <f t="shared" si="44"/>
        <v>Dark</v>
      </c>
      <c r="P925" t="str">
        <f>_xlfn.XLOOKUP(Table1[[#This Row],[Customer ID]],customers!$A$1:$A$1001,customers!$I$1:$I$1001,,0)</f>
        <v>No</v>
      </c>
    </row>
    <row r="926" spans="1:16" x14ac:dyDescent="0.2">
      <c r="A926" s="2" t="s">
        <v>5715</v>
      </c>
      <c r="B926" s="3">
        <v>44451</v>
      </c>
      <c r="C926" s="2" t="s">
        <v>5716</v>
      </c>
      <c r="D926" t="s">
        <v>6182</v>
      </c>
      <c r="E926" s="2">
        <v>3</v>
      </c>
      <c r="F926" s="2" t="str">
        <f>_xlfn.XLOOKUP(C926,customers!$A925:$A1925,customers!$B925:$B1925,,0)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5">
        <f>INDEX(products!$A$1:$G$49,MATCH(orders!$D926,products!$A$1:$A$49,0),MATCH(orders!K$1,products!$A$1:$G$1,0))</f>
        <v>2.5</v>
      </c>
      <c r="L926" s="7">
        <f>INDEX(products!$A$1:$G$49,MATCH(orders!$D926,products!$A$1:$A$49,0),MATCH(orders!L$1,products!$A$1:$G$1,0))</f>
        <v>29.784999999999997</v>
      </c>
      <c r="M926" s="7">
        <f t="shared" si="42"/>
        <v>89.35499999999999</v>
      </c>
      <c r="N926" t="str">
        <f t="shared" si="43"/>
        <v>Arabica</v>
      </c>
      <c r="O926" t="str">
        <f t="shared" si="44"/>
        <v>Light</v>
      </c>
      <c r="P926" t="str">
        <f>_xlfn.XLOOKUP(Table1[[#This Row],[Customer ID]],customers!$A$1:$A$1001,customers!$I$1:$I$1001,,0)</f>
        <v>No</v>
      </c>
    </row>
    <row r="927" spans="1:16" x14ac:dyDescent="0.2">
      <c r="A927" s="2" t="s">
        <v>5720</v>
      </c>
      <c r="B927" s="3">
        <v>44770</v>
      </c>
      <c r="C927" s="2" t="s">
        <v>5554</v>
      </c>
      <c r="D927" t="s">
        <v>6157</v>
      </c>
      <c r="E927" s="2">
        <v>3</v>
      </c>
      <c r="F927" s="2" t="e">
        <f>_xlfn.XLOOKUP(C927,customers!$A926:$A1926,customers!$B926:$B1926,,0)</f>
        <v>#N/A</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5">
        <f>INDEX(products!$A$1:$G$49,MATCH(orders!$D927,products!$A$1:$A$49,0),MATCH(orders!K$1,products!$A$1:$G$1,0))</f>
        <v>0.5</v>
      </c>
      <c r="L927" s="7">
        <f>INDEX(products!$A$1:$G$49,MATCH(orders!$D927,products!$A$1:$A$49,0),MATCH(orders!L$1,products!$A$1:$G$1,0))</f>
        <v>6.75</v>
      </c>
      <c r="M927" s="7">
        <f t="shared" si="42"/>
        <v>20.25</v>
      </c>
      <c r="N927" t="str">
        <f t="shared" si="43"/>
        <v>Arabica</v>
      </c>
      <c r="O927" t="str">
        <f t="shared" si="44"/>
        <v>Medium</v>
      </c>
      <c r="P927" t="str">
        <f>_xlfn.XLOOKUP(Table1[[#This Row],[Customer ID]],customers!$A$1:$A$1001,customers!$I$1:$I$1001,,0)</f>
        <v>No</v>
      </c>
    </row>
    <row r="928" spans="1:16" x14ac:dyDescent="0.2">
      <c r="A928" s="2" t="s">
        <v>5725</v>
      </c>
      <c r="B928" s="3">
        <v>44012</v>
      </c>
      <c r="C928" s="2" t="s">
        <v>5726</v>
      </c>
      <c r="D928" t="s">
        <v>6157</v>
      </c>
      <c r="E928" s="2">
        <v>5</v>
      </c>
      <c r="F928" s="2" t="str">
        <f>_xlfn.XLOOKUP(C928,customers!$A927:$A1927,customers!$B927:$B1927,,0)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5">
        <f>INDEX(products!$A$1:$G$49,MATCH(orders!$D928,products!$A$1:$A$49,0),MATCH(orders!K$1,products!$A$1:$G$1,0))</f>
        <v>0.5</v>
      </c>
      <c r="L928" s="7">
        <f>INDEX(products!$A$1:$G$49,MATCH(orders!$D928,products!$A$1:$A$49,0),MATCH(orders!L$1,products!$A$1:$G$1,0))</f>
        <v>6.75</v>
      </c>
      <c r="M928" s="7">
        <f t="shared" si="42"/>
        <v>33.75</v>
      </c>
      <c r="N928" t="str">
        <f t="shared" si="43"/>
        <v>Arabica</v>
      </c>
      <c r="O928" t="str">
        <f t="shared" si="44"/>
        <v>Medium</v>
      </c>
      <c r="P928" t="str">
        <f>_xlfn.XLOOKUP(Table1[[#This Row],[Customer ID]],customers!$A$1:$A$1001,customers!$I$1:$I$1001,,0)</f>
        <v>Yes</v>
      </c>
    </row>
    <row r="929" spans="1:16" x14ac:dyDescent="0.2">
      <c r="A929" s="2" t="s">
        <v>5731</v>
      </c>
      <c r="B929" s="3">
        <v>43474</v>
      </c>
      <c r="C929" s="2" t="s">
        <v>5732</v>
      </c>
      <c r="D929" t="s">
        <v>6185</v>
      </c>
      <c r="E929" s="2">
        <v>4</v>
      </c>
      <c r="F929" s="2" t="str">
        <f>_xlfn.XLOOKUP(C929,customers!$A928:$A1928,customers!$B928:$B1928,,0)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5">
        <f>INDEX(products!$A$1:$G$49,MATCH(orders!$D929,products!$A$1:$A$49,0),MATCH(orders!K$1,products!$A$1:$G$1,0))</f>
        <v>2.5</v>
      </c>
      <c r="L929" s="7">
        <f>INDEX(products!$A$1:$G$49,MATCH(orders!$D929,products!$A$1:$A$49,0),MATCH(orders!L$1,products!$A$1:$G$1,0))</f>
        <v>27.945</v>
      </c>
      <c r="M929" s="7">
        <f t="shared" si="42"/>
        <v>111.78</v>
      </c>
      <c r="N929" t="str">
        <f t="shared" si="43"/>
        <v>Excelsa</v>
      </c>
      <c r="O929" t="str">
        <f t="shared" si="44"/>
        <v>Dark</v>
      </c>
      <c r="P929" t="str">
        <f>_xlfn.XLOOKUP(Table1[[#This Row],[Customer ID]],customers!$A$1:$A$1001,customers!$I$1:$I$1001,,0)</f>
        <v>No</v>
      </c>
    </row>
    <row r="930" spans="1:16" x14ac:dyDescent="0.2">
      <c r="A930" s="2" t="s">
        <v>5737</v>
      </c>
      <c r="B930" s="3">
        <v>44754</v>
      </c>
      <c r="C930" s="2" t="s">
        <v>5738</v>
      </c>
      <c r="D930" t="s">
        <v>6166</v>
      </c>
      <c r="E930" s="2">
        <v>2</v>
      </c>
      <c r="F930" s="2" t="str">
        <f>_xlfn.XLOOKUP(C930,customers!$A929:$A1929,customers!$B929:$B1929,,0)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5">
        <f>INDEX(products!$A$1:$G$49,MATCH(orders!$D930,products!$A$1:$A$49,0),MATCH(orders!K$1,products!$A$1:$G$1,0))</f>
        <v>2.5</v>
      </c>
      <c r="L930" s="7">
        <f>INDEX(products!$A$1:$G$49,MATCH(orders!$D930,products!$A$1:$A$49,0),MATCH(orders!L$1,products!$A$1:$G$1,0))</f>
        <v>31.624999999999996</v>
      </c>
      <c r="M930" s="7">
        <f t="shared" si="42"/>
        <v>63.249999999999993</v>
      </c>
      <c r="N930" t="str">
        <f t="shared" si="43"/>
        <v>Excelsa</v>
      </c>
      <c r="O930" t="str">
        <f t="shared" si="44"/>
        <v>Medium</v>
      </c>
      <c r="P930" t="str">
        <f>_xlfn.XLOOKUP(Table1[[#This Row],[Customer ID]],customers!$A$1:$A$1001,customers!$I$1:$I$1001,,0)</f>
        <v>Yes</v>
      </c>
    </row>
    <row r="931" spans="1:16" x14ac:dyDescent="0.2">
      <c r="A931" s="2" t="s">
        <v>5742</v>
      </c>
      <c r="B931" s="3">
        <v>44165</v>
      </c>
      <c r="C931" s="2" t="s">
        <v>5743</v>
      </c>
      <c r="D931" t="s">
        <v>6184</v>
      </c>
      <c r="E931" s="2">
        <v>2</v>
      </c>
      <c r="F931" s="2" t="str">
        <f>_xlfn.XLOOKUP(C931,customers!$A930:$A1930,customers!$B930:$B1930,,0)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5">
        <f>INDEX(products!$A$1:$G$49,MATCH(orders!$D931,products!$A$1:$A$49,0),MATCH(orders!K$1,products!$A$1:$G$1,0))</f>
        <v>0.2</v>
      </c>
      <c r="L931" s="7">
        <f>INDEX(products!$A$1:$G$49,MATCH(orders!$D931,products!$A$1:$A$49,0),MATCH(orders!L$1,products!$A$1:$G$1,0))</f>
        <v>4.4550000000000001</v>
      </c>
      <c r="M931" s="7">
        <f t="shared" si="42"/>
        <v>8.91</v>
      </c>
      <c r="N931" t="str">
        <f t="shared" si="43"/>
        <v>Excelsa</v>
      </c>
      <c r="O931" t="str">
        <f t="shared" si="44"/>
        <v>Light</v>
      </c>
      <c r="P931" t="str">
        <f>_xlfn.XLOOKUP(Table1[[#This Row],[Customer ID]],customers!$A$1:$A$1001,customers!$I$1:$I$1001,,0)</f>
        <v>Yes</v>
      </c>
    </row>
    <row r="932" spans="1:16" x14ac:dyDescent="0.2">
      <c r="A932" s="2" t="s">
        <v>5748</v>
      </c>
      <c r="B932" s="3">
        <v>43546</v>
      </c>
      <c r="C932" s="2" t="s">
        <v>5749</v>
      </c>
      <c r="D932" t="s">
        <v>6183</v>
      </c>
      <c r="E932" s="2">
        <v>1</v>
      </c>
      <c r="F932" s="2" t="str">
        <f>_xlfn.XLOOKUP(C932,customers!$A931:$A1931,customers!$B931:$B1931,,0)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5">
        <f>INDEX(products!$A$1:$G$49,MATCH(orders!$D932,products!$A$1:$A$49,0),MATCH(orders!K$1,products!$A$1:$G$1,0))</f>
        <v>1</v>
      </c>
      <c r="L932" s="7">
        <f>INDEX(products!$A$1:$G$49,MATCH(orders!$D932,products!$A$1:$A$49,0),MATCH(orders!L$1,products!$A$1:$G$1,0))</f>
        <v>12.15</v>
      </c>
      <c r="M932" s="7">
        <f t="shared" si="42"/>
        <v>12.15</v>
      </c>
      <c r="N932" t="str">
        <f t="shared" si="43"/>
        <v>Excelsa</v>
      </c>
      <c r="O932" t="str">
        <f t="shared" si="44"/>
        <v>Dark</v>
      </c>
      <c r="P932" t="str">
        <f>_xlfn.XLOOKUP(Table1[[#This Row],[Customer ID]],customers!$A$1:$A$1001,customers!$I$1:$I$1001,,0)</f>
        <v>Yes</v>
      </c>
    </row>
    <row r="933" spans="1:16" x14ac:dyDescent="0.2">
      <c r="A933" s="2" t="s">
        <v>5753</v>
      </c>
      <c r="B933" s="3">
        <v>44607</v>
      </c>
      <c r="C933" s="2" t="s">
        <v>5754</v>
      </c>
      <c r="D933" t="s">
        <v>6158</v>
      </c>
      <c r="E933" s="2">
        <v>4</v>
      </c>
      <c r="F933" s="2" t="str">
        <f>_xlfn.XLOOKUP(C933,customers!$A932:$A1932,customers!$B932:$B1932,,0)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5">
        <f>INDEX(products!$A$1:$G$49,MATCH(orders!$D933,products!$A$1:$A$49,0),MATCH(orders!K$1,products!$A$1:$G$1,0))</f>
        <v>0.5</v>
      </c>
      <c r="L933" s="7">
        <f>INDEX(products!$A$1:$G$49,MATCH(orders!$D933,products!$A$1:$A$49,0),MATCH(orders!L$1,products!$A$1:$G$1,0))</f>
        <v>5.97</v>
      </c>
      <c r="M933" s="7">
        <f t="shared" si="42"/>
        <v>23.88</v>
      </c>
      <c r="N933" t="str">
        <f t="shared" si="43"/>
        <v>Arabica</v>
      </c>
      <c r="O933" t="str">
        <f t="shared" si="44"/>
        <v>Dark</v>
      </c>
      <c r="P933" t="str">
        <f>_xlfn.XLOOKUP(Table1[[#This Row],[Customer ID]],customers!$A$1:$A$1001,customers!$I$1:$I$1001,,0)</f>
        <v>Yes</v>
      </c>
    </row>
    <row r="934" spans="1:16" x14ac:dyDescent="0.2">
      <c r="A934" s="2" t="s">
        <v>5757</v>
      </c>
      <c r="B934" s="3">
        <v>44117</v>
      </c>
      <c r="C934" s="2" t="s">
        <v>5758</v>
      </c>
      <c r="D934" t="s">
        <v>6141</v>
      </c>
      <c r="E934" s="2">
        <v>4</v>
      </c>
      <c r="F934" s="2" t="str">
        <f>_xlfn.XLOOKUP(C934,customers!$A933:$A1933,customers!$B933:$B1933,,0)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5">
        <f>INDEX(products!$A$1:$G$49,MATCH(orders!$D934,products!$A$1:$A$49,0),MATCH(orders!K$1,products!$A$1:$G$1,0))</f>
        <v>1</v>
      </c>
      <c r="L934" s="7">
        <f>INDEX(products!$A$1:$G$49,MATCH(orders!$D934,products!$A$1:$A$49,0),MATCH(orders!L$1,products!$A$1:$G$1,0))</f>
        <v>13.75</v>
      </c>
      <c r="M934" s="7">
        <f t="shared" si="42"/>
        <v>55</v>
      </c>
      <c r="N934" t="str">
        <f t="shared" si="43"/>
        <v>Excelsa</v>
      </c>
      <c r="O934" t="str">
        <f t="shared" si="44"/>
        <v>Medium</v>
      </c>
      <c r="P934" t="str">
        <f>_xlfn.XLOOKUP(Table1[[#This Row],[Customer ID]],customers!$A$1:$A$1001,customers!$I$1:$I$1001,,0)</f>
        <v>No</v>
      </c>
    </row>
    <row r="935" spans="1:16" x14ac:dyDescent="0.2">
      <c r="A935" s="2" t="s">
        <v>5763</v>
      </c>
      <c r="B935" s="3">
        <v>44557</v>
      </c>
      <c r="C935" s="2" t="s">
        <v>5764</v>
      </c>
      <c r="D935" t="s">
        <v>6177</v>
      </c>
      <c r="E935" s="2">
        <v>3</v>
      </c>
      <c r="F935" s="2" t="str">
        <f>_xlfn.XLOOKUP(C935,customers!$A934:$A1934,customers!$B934:$B1934,,0)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5">
        <f>INDEX(products!$A$1:$G$49,MATCH(orders!$D935,products!$A$1:$A$49,0),MATCH(orders!K$1,products!$A$1:$G$1,0))</f>
        <v>1</v>
      </c>
      <c r="L935" s="7">
        <f>INDEX(products!$A$1:$G$49,MATCH(orders!$D935,products!$A$1:$A$49,0),MATCH(orders!L$1,products!$A$1:$G$1,0))</f>
        <v>8.9499999999999993</v>
      </c>
      <c r="M935" s="7">
        <f t="shared" si="42"/>
        <v>26.849999999999998</v>
      </c>
      <c r="N935" t="str">
        <f t="shared" si="43"/>
        <v>Robusta</v>
      </c>
      <c r="O935" t="str">
        <f t="shared" si="44"/>
        <v>Dark</v>
      </c>
      <c r="P935" t="str">
        <f>_xlfn.XLOOKUP(Table1[[#This Row],[Customer ID]],customers!$A$1:$A$1001,customers!$I$1:$I$1001,,0)</f>
        <v>Yes</v>
      </c>
    </row>
    <row r="936" spans="1:16" x14ac:dyDescent="0.2">
      <c r="A936" s="2" t="s">
        <v>5768</v>
      </c>
      <c r="B936" s="3">
        <v>44409</v>
      </c>
      <c r="C936" s="2" t="s">
        <v>5769</v>
      </c>
      <c r="D936" t="s">
        <v>6151</v>
      </c>
      <c r="E936" s="2">
        <v>5</v>
      </c>
      <c r="F936" s="2" t="str">
        <f>_xlfn.XLOOKUP(C936,customers!$A935:$A1935,customers!$B935:$B1935,,0)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5">
        <f>INDEX(products!$A$1:$G$49,MATCH(orders!$D936,products!$A$1:$A$49,0),MATCH(orders!K$1,products!$A$1:$G$1,0))</f>
        <v>2.5</v>
      </c>
      <c r="L936" s="7">
        <f>INDEX(products!$A$1:$G$49,MATCH(orders!$D936,products!$A$1:$A$49,0),MATCH(orders!L$1,products!$A$1:$G$1,0))</f>
        <v>22.884999999999998</v>
      </c>
      <c r="M936" s="7">
        <f t="shared" si="42"/>
        <v>114.42499999999998</v>
      </c>
      <c r="N936" t="str">
        <f t="shared" si="43"/>
        <v>Robusta</v>
      </c>
      <c r="O936" t="str">
        <f t="shared" si="44"/>
        <v>Medium</v>
      </c>
      <c r="P936" t="str">
        <f>_xlfn.XLOOKUP(Table1[[#This Row],[Customer ID]],customers!$A$1:$A$1001,customers!$I$1:$I$1001,,0)</f>
        <v>No</v>
      </c>
    </row>
    <row r="937" spans="1:16" x14ac:dyDescent="0.2">
      <c r="A937" s="2" t="s">
        <v>5774</v>
      </c>
      <c r="B937" s="3">
        <v>44153</v>
      </c>
      <c r="C937" s="2" t="s">
        <v>5775</v>
      </c>
      <c r="D937" t="s">
        <v>6175</v>
      </c>
      <c r="E937" s="2">
        <v>6</v>
      </c>
      <c r="F937" s="2" t="str">
        <f>_xlfn.XLOOKUP(C937,customers!$A936:$A1936,customers!$B936:$B1936,,0)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5">
        <f>INDEX(products!$A$1:$G$49,MATCH(orders!$D937,products!$A$1:$A$49,0),MATCH(orders!K$1,products!$A$1:$G$1,0))</f>
        <v>2.5</v>
      </c>
      <c r="L937" s="7">
        <f>INDEX(products!$A$1:$G$49,MATCH(orders!$D937,products!$A$1:$A$49,0),MATCH(orders!L$1,products!$A$1:$G$1,0))</f>
        <v>25.874999999999996</v>
      </c>
      <c r="M937" s="7">
        <f t="shared" si="42"/>
        <v>155.24999999999997</v>
      </c>
      <c r="N937" t="str">
        <f t="shared" si="43"/>
        <v>Arabica</v>
      </c>
      <c r="O937" t="str">
        <f t="shared" si="44"/>
        <v>Medium</v>
      </c>
      <c r="P937" t="str">
        <f>_xlfn.XLOOKUP(Table1[[#This Row],[Customer ID]],customers!$A$1:$A$1001,customers!$I$1:$I$1001,,0)</f>
        <v>Yes</v>
      </c>
    </row>
    <row r="938" spans="1:16" x14ac:dyDescent="0.2">
      <c r="A938" s="2" t="s">
        <v>5780</v>
      </c>
      <c r="B938" s="3">
        <v>44493</v>
      </c>
      <c r="C938" s="2" t="s">
        <v>5781</v>
      </c>
      <c r="D938" t="s">
        <v>6169</v>
      </c>
      <c r="E938" s="2">
        <v>3</v>
      </c>
      <c r="F938" s="2" t="str">
        <f>_xlfn.XLOOKUP(C938,customers!$A937:$A1937,customers!$B937:$B1937,,0)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5">
        <f>INDEX(products!$A$1:$G$49,MATCH(orders!$D938,products!$A$1:$A$49,0),MATCH(orders!K$1,products!$A$1:$G$1,0))</f>
        <v>0.5</v>
      </c>
      <c r="L938" s="7">
        <f>INDEX(products!$A$1:$G$49,MATCH(orders!$D938,products!$A$1:$A$49,0),MATCH(orders!L$1,products!$A$1:$G$1,0))</f>
        <v>7.77</v>
      </c>
      <c r="M938" s="7">
        <f t="shared" si="42"/>
        <v>23.31</v>
      </c>
      <c r="N938" t="str">
        <f t="shared" si="43"/>
        <v>Liberica</v>
      </c>
      <c r="O938" t="str">
        <f t="shared" si="44"/>
        <v>Dark</v>
      </c>
      <c r="P938" t="str">
        <f>_xlfn.XLOOKUP(Table1[[#This Row],[Customer ID]],customers!$A$1:$A$1001,customers!$I$1:$I$1001,,0)</f>
        <v>Yes</v>
      </c>
    </row>
    <row r="939" spans="1:16" x14ac:dyDescent="0.2">
      <c r="A939" s="2" t="s">
        <v>5780</v>
      </c>
      <c r="B939" s="3">
        <v>44493</v>
      </c>
      <c r="C939" s="2" t="s">
        <v>5781</v>
      </c>
      <c r="D939" t="s">
        <v>6151</v>
      </c>
      <c r="E939" s="2">
        <v>4</v>
      </c>
      <c r="F939" s="2" t="str">
        <f>_xlfn.XLOOKUP(C939,customers!$A938:$A1938,customers!$B938:$B1938,,0)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5">
        <f>INDEX(products!$A$1:$G$49,MATCH(orders!$D939,products!$A$1:$A$49,0),MATCH(orders!K$1,products!$A$1:$G$1,0))</f>
        <v>2.5</v>
      </c>
      <c r="L939" s="7">
        <f>INDEX(products!$A$1:$G$49,MATCH(orders!$D939,products!$A$1:$A$49,0),MATCH(orders!L$1,products!$A$1:$G$1,0))</f>
        <v>22.884999999999998</v>
      </c>
      <c r="M939" s="7">
        <f t="shared" si="42"/>
        <v>91.539999999999992</v>
      </c>
      <c r="N939" t="str">
        <f t="shared" si="43"/>
        <v>Robusta</v>
      </c>
      <c r="O939" t="str">
        <f t="shared" si="44"/>
        <v>Medium</v>
      </c>
      <c r="P939" t="str">
        <f>_xlfn.XLOOKUP(Table1[[#This Row],[Customer ID]],customers!$A$1:$A$1001,customers!$I$1:$I$1001,,0)</f>
        <v>Yes</v>
      </c>
    </row>
    <row r="940" spans="1:16" x14ac:dyDescent="0.2">
      <c r="A940" s="2" t="s">
        <v>5791</v>
      </c>
      <c r="B940" s="3">
        <v>43829</v>
      </c>
      <c r="C940" s="2" t="s">
        <v>5792</v>
      </c>
      <c r="D940" t="s">
        <v>6171</v>
      </c>
      <c r="E940" s="2">
        <v>5</v>
      </c>
      <c r="F940" s="2" t="str">
        <f>_xlfn.XLOOKUP(C940,customers!$A939:$A1939,customers!$B939:$B1939,,0)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5">
        <f>INDEX(products!$A$1:$G$49,MATCH(orders!$D940,products!$A$1:$A$49,0),MATCH(orders!K$1,products!$A$1:$G$1,0))</f>
        <v>1</v>
      </c>
      <c r="L940" s="7">
        <f>INDEX(products!$A$1:$G$49,MATCH(orders!$D940,products!$A$1:$A$49,0),MATCH(orders!L$1,products!$A$1:$G$1,0))</f>
        <v>14.85</v>
      </c>
      <c r="M940" s="7">
        <f t="shared" si="42"/>
        <v>74.25</v>
      </c>
      <c r="N940" t="str">
        <f t="shared" si="43"/>
        <v>Excelsa</v>
      </c>
      <c r="O940" t="str">
        <f t="shared" si="44"/>
        <v>Light</v>
      </c>
      <c r="P940" t="str">
        <f>_xlfn.XLOOKUP(Table1[[#This Row],[Customer ID]],customers!$A$1:$A$1001,customers!$I$1:$I$1001,,0)</f>
        <v>Yes</v>
      </c>
    </row>
    <row r="941" spans="1:16" x14ac:dyDescent="0.2">
      <c r="A941" s="2" t="s">
        <v>5797</v>
      </c>
      <c r="B941" s="3">
        <v>44229</v>
      </c>
      <c r="C941" s="2" t="s">
        <v>5798</v>
      </c>
      <c r="D941" t="s">
        <v>6145</v>
      </c>
      <c r="E941" s="2">
        <v>6</v>
      </c>
      <c r="F941" s="2" t="str">
        <f>_xlfn.XLOOKUP(C941,customers!$A940:$A1940,customers!$B940:$B1940,,0)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5">
        <f>INDEX(products!$A$1:$G$49,MATCH(orders!$D941,products!$A$1:$A$49,0),MATCH(orders!K$1,products!$A$1:$G$1,0))</f>
        <v>0.2</v>
      </c>
      <c r="L941" s="7">
        <f>INDEX(products!$A$1:$G$49,MATCH(orders!$D941,products!$A$1:$A$49,0),MATCH(orders!L$1,products!$A$1:$G$1,0))</f>
        <v>4.7549999999999999</v>
      </c>
      <c r="M941" s="7">
        <f t="shared" si="42"/>
        <v>28.53</v>
      </c>
      <c r="N941" t="str">
        <f t="shared" si="43"/>
        <v>Liberica</v>
      </c>
      <c r="O941" t="str">
        <f t="shared" si="44"/>
        <v>Light</v>
      </c>
      <c r="P941" t="str">
        <f>_xlfn.XLOOKUP(Table1[[#This Row],[Customer ID]],customers!$A$1:$A$1001,customers!$I$1:$I$1001,,0)</f>
        <v>No</v>
      </c>
    </row>
    <row r="942" spans="1:16" x14ac:dyDescent="0.2">
      <c r="A942" s="2" t="s">
        <v>5803</v>
      </c>
      <c r="B942" s="3">
        <v>44332</v>
      </c>
      <c r="C942" s="2" t="s">
        <v>5804</v>
      </c>
      <c r="D942" t="s">
        <v>6173</v>
      </c>
      <c r="E942" s="2">
        <v>2</v>
      </c>
      <c r="F942" s="2" t="str">
        <f>_xlfn.XLOOKUP(C942,customers!$A941:$A1941,customers!$B941:$B1941,,0)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5">
        <f>INDEX(products!$A$1:$G$49,MATCH(orders!$D942,products!$A$1:$A$49,0),MATCH(orders!K$1,products!$A$1:$G$1,0))</f>
        <v>0.5</v>
      </c>
      <c r="L942" s="7">
        <f>INDEX(products!$A$1:$G$49,MATCH(orders!$D942,products!$A$1:$A$49,0),MATCH(orders!L$1,products!$A$1:$G$1,0))</f>
        <v>7.169999999999999</v>
      </c>
      <c r="M942" s="7">
        <f t="shared" si="42"/>
        <v>14.339999999999998</v>
      </c>
      <c r="N942" t="str">
        <f t="shared" si="43"/>
        <v>Robusta</v>
      </c>
      <c r="O942" t="str">
        <f t="shared" si="44"/>
        <v>Light</v>
      </c>
      <c r="P942" t="str">
        <f>_xlfn.XLOOKUP(Table1[[#This Row],[Customer ID]],customers!$A$1:$A$1001,customers!$I$1:$I$1001,,0)</f>
        <v>Yes</v>
      </c>
    </row>
    <row r="943" spans="1:16" x14ac:dyDescent="0.2">
      <c r="A943" s="2" t="s">
        <v>5809</v>
      </c>
      <c r="B943" s="3">
        <v>44674</v>
      </c>
      <c r="C943" s="2" t="s">
        <v>5810</v>
      </c>
      <c r="D943" t="s">
        <v>6180</v>
      </c>
      <c r="E943" s="2">
        <v>2</v>
      </c>
      <c r="F943" s="2" t="str">
        <f>_xlfn.XLOOKUP(C943,customers!$A942:$A1942,customers!$B942:$B1942,,0)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5">
        <f>INDEX(products!$A$1:$G$49,MATCH(orders!$D943,products!$A$1:$A$49,0),MATCH(orders!K$1,products!$A$1:$G$1,0))</f>
        <v>0.5</v>
      </c>
      <c r="L943" s="7">
        <f>INDEX(products!$A$1:$G$49,MATCH(orders!$D943,products!$A$1:$A$49,0),MATCH(orders!L$1,products!$A$1:$G$1,0))</f>
        <v>7.77</v>
      </c>
      <c r="M943" s="7">
        <f t="shared" si="42"/>
        <v>15.54</v>
      </c>
      <c r="N943" t="str">
        <f t="shared" si="43"/>
        <v>Arabica</v>
      </c>
      <c r="O943" t="str">
        <f t="shared" si="44"/>
        <v>Light</v>
      </c>
      <c r="P943" t="str">
        <f>_xlfn.XLOOKUP(Table1[[#This Row],[Customer ID]],customers!$A$1:$A$1001,customers!$I$1:$I$1001,,0)</f>
        <v>Yes</v>
      </c>
    </row>
    <row r="944" spans="1:16" x14ac:dyDescent="0.2">
      <c r="A944" s="2" t="s">
        <v>5816</v>
      </c>
      <c r="B944" s="3">
        <v>44464</v>
      </c>
      <c r="C944" s="2" t="s">
        <v>5817</v>
      </c>
      <c r="D944" t="s">
        <v>6179</v>
      </c>
      <c r="E944" s="2">
        <v>3</v>
      </c>
      <c r="F944" s="2" t="str">
        <f>_xlfn.XLOOKUP(C944,customers!$A943:$A1943,customers!$B943:$B1943,,0)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5">
        <f>INDEX(products!$A$1:$G$49,MATCH(orders!$D944,products!$A$1:$A$49,0),MATCH(orders!K$1,products!$A$1:$G$1,0))</f>
        <v>1</v>
      </c>
      <c r="L944" s="7">
        <f>INDEX(products!$A$1:$G$49,MATCH(orders!$D944,products!$A$1:$A$49,0),MATCH(orders!L$1,products!$A$1:$G$1,0))</f>
        <v>11.95</v>
      </c>
      <c r="M944" s="7">
        <f t="shared" si="42"/>
        <v>35.849999999999994</v>
      </c>
      <c r="N944" t="str">
        <f t="shared" si="43"/>
        <v>Robusta</v>
      </c>
      <c r="O944" t="str">
        <f t="shared" si="44"/>
        <v>Light</v>
      </c>
      <c r="P944" t="str">
        <f>_xlfn.XLOOKUP(Table1[[#This Row],[Customer ID]],customers!$A$1:$A$1001,customers!$I$1:$I$1001,,0)</f>
        <v>No</v>
      </c>
    </row>
    <row r="945" spans="1:16" x14ac:dyDescent="0.2">
      <c r="A945" s="2" t="s">
        <v>5822</v>
      </c>
      <c r="B945" s="3">
        <v>44719</v>
      </c>
      <c r="C945" s="2" t="s">
        <v>5823</v>
      </c>
      <c r="D945" t="s">
        <v>6180</v>
      </c>
      <c r="E945" s="2">
        <v>6</v>
      </c>
      <c r="F945" s="2" t="str">
        <f>_xlfn.XLOOKUP(C945,customers!$A944:$A1944,customers!$B944:$B1944,,0)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5">
        <f>INDEX(products!$A$1:$G$49,MATCH(orders!$D945,products!$A$1:$A$49,0),MATCH(orders!K$1,products!$A$1:$G$1,0))</f>
        <v>0.5</v>
      </c>
      <c r="L945" s="7">
        <f>INDEX(products!$A$1:$G$49,MATCH(orders!$D945,products!$A$1:$A$49,0),MATCH(orders!L$1,products!$A$1:$G$1,0))</f>
        <v>7.77</v>
      </c>
      <c r="M945" s="7">
        <f t="shared" si="42"/>
        <v>46.62</v>
      </c>
      <c r="N945" t="str">
        <f t="shared" si="43"/>
        <v>Arabica</v>
      </c>
      <c r="O945" t="str">
        <f t="shared" si="44"/>
        <v>Light</v>
      </c>
      <c r="P945" t="str">
        <f>_xlfn.XLOOKUP(Table1[[#This Row],[Customer ID]],customers!$A$1:$A$1001,customers!$I$1:$I$1001,,0)</f>
        <v>No</v>
      </c>
    </row>
    <row r="946" spans="1:16" x14ac:dyDescent="0.2">
      <c r="A946" s="2" t="s">
        <v>5828</v>
      </c>
      <c r="B946" s="3">
        <v>44054</v>
      </c>
      <c r="C946" s="2" t="s">
        <v>5829</v>
      </c>
      <c r="D946" t="s">
        <v>6173</v>
      </c>
      <c r="E946" s="2">
        <v>5</v>
      </c>
      <c r="F946" s="2" t="str">
        <f>_xlfn.XLOOKUP(C946,customers!$A945:$A1945,customers!$B945:$B1945,,0)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5">
        <f>INDEX(products!$A$1:$G$49,MATCH(orders!$D946,products!$A$1:$A$49,0),MATCH(orders!K$1,products!$A$1:$G$1,0))</f>
        <v>0.5</v>
      </c>
      <c r="L946" s="7">
        <f>INDEX(products!$A$1:$G$49,MATCH(orders!$D946,products!$A$1:$A$49,0),MATCH(orders!L$1,products!$A$1:$G$1,0))</f>
        <v>7.169999999999999</v>
      </c>
      <c r="M946" s="7">
        <f t="shared" si="42"/>
        <v>35.849999999999994</v>
      </c>
      <c r="N946" t="str">
        <f t="shared" si="43"/>
        <v>Robusta</v>
      </c>
      <c r="O946" t="str">
        <f t="shared" si="44"/>
        <v>Light</v>
      </c>
      <c r="P946" t="str">
        <f>_xlfn.XLOOKUP(Table1[[#This Row],[Customer ID]],customers!$A$1:$A$1001,customers!$I$1:$I$1001,,0)</f>
        <v>No</v>
      </c>
    </row>
    <row r="947" spans="1:16" x14ac:dyDescent="0.2">
      <c r="A947" s="2" t="s">
        <v>5834</v>
      </c>
      <c r="B947" s="3">
        <v>43524</v>
      </c>
      <c r="C947" s="2" t="s">
        <v>5835</v>
      </c>
      <c r="D947" t="s">
        <v>6165</v>
      </c>
      <c r="E947" s="2">
        <v>4</v>
      </c>
      <c r="F947" s="2" t="str">
        <f>_xlfn.XLOOKUP(C947,customers!$A946:$A1946,customers!$B946:$B1946,,0)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5">
        <f>INDEX(products!$A$1:$G$49,MATCH(orders!$D947,products!$A$1:$A$49,0),MATCH(orders!K$1,products!$A$1:$G$1,0))</f>
        <v>2.5</v>
      </c>
      <c r="L947" s="7">
        <f>INDEX(products!$A$1:$G$49,MATCH(orders!$D947,products!$A$1:$A$49,0),MATCH(orders!L$1,products!$A$1:$G$1,0))</f>
        <v>29.784999999999997</v>
      </c>
      <c r="M947" s="7">
        <f t="shared" si="42"/>
        <v>119.13999999999999</v>
      </c>
      <c r="N947" t="str">
        <f t="shared" si="43"/>
        <v>Liberica</v>
      </c>
      <c r="O947" t="str">
        <f t="shared" si="44"/>
        <v>Dark</v>
      </c>
      <c r="P947" t="str">
        <f>_xlfn.XLOOKUP(Table1[[#This Row],[Customer ID]],customers!$A$1:$A$1001,customers!$I$1:$I$1001,,0)</f>
        <v>No</v>
      </c>
    </row>
    <row r="948" spans="1:16" x14ac:dyDescent="0.2">
      <c r="A948" s="2" t="s">
        <v>5839</v>
      </c>
      <c r="B948" s="3">
        <v>43719</v>
      </c>
      <c r="C948" s="2" t="s">
        <v>5840</v>
      </c>
      <c r="D948" t="s">
        <v>6169</v>
      </c>
      <c r="E948" s="2">
        <v>3</v>
      </c>
      <c r="F948" s="2" t="str">
        <f>_xlfn.XLOOKUP(C948,customers!$A947:$A1947,customers!$B947:$B1947,,0)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5">
        <f>INDEX(products!$A$1:$G$49,MATCH(orders!$D948,products!$A$1:$A$49,0),MATCH(orders!K$1,products!$A$1:$G$1,0))</f>
        <v>0.5</v>
      </c>
      <c r="L948" s="7">
        <f>INDEX(products!$A$1:$G$49,MATCH(orders!$D948,products!$A$1:$A$49,0),MATCH(orders!L$1,products!$A$1:$G$1,0))</f>
        <v>7.77</v>
      </c>
      <c r="M948" s="7">
        <f t="shared" si="42"/>
        <v>23.31</v>
      </c>
      <c r="N948" t="str">
        <f t="shared" si="43"/>
        <v>Liberica</v>
      </c>
      <c r="O948" t="str">
        <f t="shared" si="44"/>
        <v>Dark</v>
      </c>
      <c r="P948" t="str">
        <f>_xlfn.XLOOKUP(Table1[[#This Row],[Customer ID]],customers!$A$1:$A$1001,customers!$I$1:$I$1001,,0)</f>
        <v>No</v>
      </c>
    </row>
    <row r="949" spans="1:16" x14ac:dyDescent="0.2">
      <c r="A949" s="2" t="s">
        <v>5844</v>
      </c>
      <c r="B949" s="3">
        <v>44294</v>
      </c>
      <c r="C949" s="2" t="s">
        <v>5845</v>
      </c>
      <c r="D949" t="s">
        <v>6155</v>
      </c>
      <c r="E949" s="2">
        <v>1</v>
      </c>
      <c r="F949" s="2" t="str">
        <f>_xlfn.XLOOKUP(C949,customers!$A948:$A1948,customers!$B948:$B1948,,0)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5">
        <f>INDEX(products!$A$1:$G$49,MATCH(orders!$D949,products!$A$1:$A$49,0),MATCH(orders!K$1,products!$A$1:$G$1,0))</f>
        <v>1</v>
      </c>
      <c r="L949" s="7">
        <f>INDEX(products!$A$1:$G$49,MATCH(orders!$D949,products!$A$1:$A$49,0),MATCH(orders!L$1,products!$A$1:$G$1,0))</f>
        <v>11.25</v>
      </c>
      <c r="M949" s="7">
        <f t="shared" si="42"/>
        <v>11.25</v>
      </c>
      <c r="N949" t="str">
        <f t="shared" si="43"/>
        <v>Arabica</v>
      </c>
      <c r="O949" t="str">
        <f t="shared" si="44"/>
        <v>Medium</v>
      </c>
      <c r="P949" t="str">
        <f>_xlfn.XLOOKUP(Table1[[#This Row],[Customer ID]],customers!$A$1:$A$1001,customers!$I$1:$I$1001,,0)</f>
        <v>No</v>
      </c>
    </row>
    <row r="950" spans="1:16" x14ac:dyDescent="0.2">
      <c r="A950" s="2" t="s">
        <v>5849</v>
      </c>
      <c r="B950" s="3">
        <v>44445</v>
      </c>
      <c r="C950" s="2" t="s">
        <v>5850</v>
      </c>
      <c r="D950" t="s">
        <v>6185</v>
      </c>
      <c r="E950" s="2">
        <v>3</v>
      </c>
      <c r="F950" s="2" t="str">
        <f>_xlfn.XLOOKUP(C950,customers!$A949:$A1949,customers!$B949:$B1949,,0)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5">
        <f>INDEX(products!$A$1:$G$49,MATCH(orders!$D950,products!$A$1:$A$49,0),MATCH(orders!K$1,products!$A$1:$G$1,0))</f>
        <v>2.5</v>
      </c>
      <c r="L950" s="7">
        <f>INDEX(products!$A$1:$G$49,MATCH(orders!$D950,products!$A$1:$A$49,0),MATCH(orders!L$1,products!$A$1:$G$1,0))</f>
        <v>27.945</v>
      </c>
      <c r="M950" s="7">
        <f t="shared" si="42"/>
        <v>83.835000000000008</v>
      </c>
      <c r="N950" t="str">
        <f t="shared" si="43"/>
        <v>Excelsa</v>
      </c>
      <c r="O950" t="str">
        <f t="shared" si="44"/>
        <v>Dark</v>
      </c>
      <c r="P950" t="str">
        <f>_xlfn.XLOOKUP(Table1[[#This Row],[Customer ID]],customers!$A$1:$A$1001,customers!$I$1:$I$1001,,0)</f>
        <v>Yes</v>
      </c>
    </row>
    <row r="951" spans="1:16" x14ac:dyDescent="0.2">
      <c r="A951" s="2" t="s">
        <v>5855</v>
      </c>
      <c r="B951" s="3">
        <v>44449</v>
      </c>
      <c r="C951" s="2" t="s">
        <v>5856</v>
      </c>
      <c r="D951" t="s">
        <v>6142</v>
      </c>
      <c r="E951" s="2">
        <v>4</v>
      </c>
      <c r="F951" s="2" t="str">
        <f>_xlfn.XLOOKUP(C951,customers!$A950:$A1950,customers!$B950:$B1950,,0)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5">
        <f>INDEX(products!$A$1:$G$49,MATCH(orders!$D951,products!$A$1:$A$49,0),MATCH(orders!K$1,products!$A$1:$G$1,0))</f>
        <v>2.5</v>
      </c>
      <c r="L951" s="7">
        <f>INDEX(products!$A$1:$G$49,MATCH(orders!$D951,products!$A$1:$A$49,0),MATCH(orders!L$1,products!$A$1:$G$1,0))</f>
        <v>27.484999999999996</v>
      </c>
      <c r="M951" s="7">
        <f t="shared" si="42"/>
        <v>109.93999999999998</v>
      </c>
      <c r="N951" t="str">
        <f t="shared" si="43"/>
        <v>Robusta</v>
      </c>
      <c r="O951" t="str">
        <f t="shared" si="44"/>
        <v>Light</v>
      </c>
      <c r="P951" t="str">
        <f>_xlfn.XLOOKUP(Table1[[#This Row],[Customer ID]],customers!$A$1:$A$1001,customers!$I$1:$I$1001,,0)</f>
        <v>No</v>
      </c>
    </row>
    <row r="952" spans="1:16" x14ac:dyDescent="0.2">
      <c r="A952" s="2" t="s">
        <v>5861</v>
      </c>
      <c r="B952" s="3">
        <v>44703</v>
      </c>
      <c r="C952" s="2" t="s">
        <v>5862</v>
      </c>
      <c r="D952" t="s">
        <v>6178</v>
      </c>
      <c r="E952" s="2">
        <v>4</v>
      </c>
      <c r="F952" s="2" t="str">
        <f>_xlfn.XLOOKUP(C952,customers!$A951:$A1951,customers!$B951:$B1951,,0)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5">
        <f>INDEX(products!$A$1:$G$49,MATCH(orders!$D952,products!$A$1:$A$49,0),MATCH(orders!K$1,products!$A$1:$G$1,0))</f>
        <v>0.2</v>
      </c>
      <c r="L952" s="7">
        <f>INDEX(products!$A$1:$G$49,MATCH(orders!$D952,products!$A$1:$A$49,0),MATCH(orders!L$1,products!$A$1:$G$1,0))</f>
        <v>3.5849999999999995</v>
      </c>
      <c r="M952" s="7">
        <f t="shared" si="42"/>
        <v>14.339999999999998</v>
      </c>
      <c r="N952" t="str">
        <f t="shared" si="43"/>
        <v>Robusta</v>
      </c>
      <c r="O952" t="str">
        <f t="shared" si="44"/>
        <v>Light</v>
      </c>
      <c r="P952" t="str">
        <f>_xlfn.XLOOKUP(Table1[[#This Row],[Customer ID]],customers!$A$1:$A$1001,customers!$I$1:$I$1001,,0)</f>
        <v>Yes</v>
      </c>
    </row>
    <row r="953" spans="1:16" x14ac:dyDescent="0.2">
      <c r="A953" s="2" t="s">
        <v>5866</v>
      </c>
      <c r="B953" s="3">
        <v>44092</v>
      </c>
      <c r="C953" s="2" t="s">
        <v>5867</v>
      </c>
      <c r="D953" t="s">
        <v>6178</v>
      </c>
      <c r="E953" s="2">
        <v>6</v>
      </c>
      <c r="F953" s="2" t="str">
        <f>_xlfn.XLOOKUP(C953,customers!$A952:$A1952,customers!$B952:$B1952,,0)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5">
        <f>INDEX(products!$A$1:$G$49,MATCH(orders!$D953,products!$A$1:$A$49,0),MATCH(orders!K$1,products!$A$1:$G$1,0))</f>
        <v>0.2</v>
      </c>
      <c r="L953" s="7">
        <f>INDEX(products!$A$1:$G$49,MATCH(orders!$D953,products!$A$1:$A$49,0),MATCH(orders!L$1,products!$A$1:$G$1,0))</f>
        <v>3.5849999999999995</v>
      </c>
      <c r="M953" s="7">
        <f t="shared" si="42"/>
        <v>21.509999999999998</v>
      </c>
      <c r="N953" t="str">
        <f t="shared" si="43"/>
        <v>Robusta</v>
      </c>
      <c r="O953" t="str">
        <f t="shared" si="44"/>
        <v>Light</v>
      </c>
      <c r="P953" t="str">
        <f>_xlfn.XLOOKUP(Table1[[#This Row],[Customer ID]],customers!$A$1:$A$1001,customers!$I$1:$I$1001,,0)</f>
        <v>No</v>
      </c>
    </row>
    <row r="954" spans="1:16" x14ac:dyDescent="0.2">
      <c r="A954" s="2" t="s">
        <v>5872</v>
      </c>
      <c r="B954" s="3">
        <v>44439</v>
      </c>
      <c r="C954" s="2" t="s">
        <v>5873</v>
      </c>
      <c r="D954" t="s">
        <v>6155</v>
      </c>
      <c r="E954" s="2">
        <v>2</v>
      </c>
      <c r="F954" s="2" t="str">
        <f>_xlfn.XLOOKUP(C954,customers!$A953:$A1953,customers!$B953:$B1953,,0)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5">
        <f>INDEX(products!$A$1:$G$49,MATCH(orders!$D954,products!$A$1:$A$49,0),MATCH(orders!K$1,products!$A$1:$G$1,0))</f>
        <v>1</v>
      </c>
      <c r="L954" s="7">
        <f>INDEX(products!$A$1:$G$49,MATCH(orders!$D954,products!$A$1:$A$49,0),MATCH(orders!L$1,products!$A$1:$G$1,0))</f>
        <v>11.25</v>
      </c>
      <c r="M954" s="7">
        <f t="shared" si="42"/>
        <v>22.5</v>
      </c>
      <c r="N954" t="str">
        <f t="shared" si="43"/>
        <v>Arabica</v>
      </c>
      <c r="O954" t="str">
        <f t="shared" si="44"/>
        <v>Medium</v>
      </c>
      <c r="P954" t="str">
        <f>_xlfn.XLOOKUP(Table1[[#This Row],[Customer ID]],customers!$A$1:$A$1001,customers!$I$1:$I$1001,,0)</f>
        <v>Yes</v>
      </c>
    </row>
    <row r="955" spans="1:16" x14ac:dyDescent="0.2">
      <c r="A955" s="2" t="s">
        <v>5878</v>
      </c>
      <c r="B955" s="3">
        <v>44582</v>
      </c>
      <c r="C955" s="2" t="s">
        <v>5764</v>
      </c>
      <c r="D955" t="s">
        <v>6167</v>
      </c>
      <c r="E955" s="2">
        <v>1</v>
      </c>
      <c r="F955" s="2" t="e">
        <f>_xlfn.XLOOKUP(C955,customers!$A954:$A1954,customers!$B954:$B1954,,0)</f>
        <v>#N/A</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5">
        <f>INDEX(products!$A$1:$G$49,MATCH(orders!$D955,products!$A$1:$A$49,0),MATCH(orders!K$1,products!$A$1:$G$1,0))</f>
        <v>0.2</v>
      </c>
      <c r="L955" s="7">
        <f>INDEX(products!$A$1:$G$49,MATCH(orders!$D955,products!$A$1:$A$49,0),MATCH(orders!L$1,products!$A$1:$G$1,0))</f>
        <v>3.8849999999999998</v>
      </c>
      <c r="M955" s="7">
        <f t="shared" si="42"/>
        <v>3.8849999999999998</v>
      </c>
      <c r="N955" t="str">
        <f t="shared" si="43"/>
        <v>Arabica</v>
      </c>
      <c r="O955" t="str">
        <f t="shared" si="44"/>
        <v>Light</v>
      </c>
      <c r="P955" t="str">
        <f>_xlfn.XLOOKUP(Table1[[#This Row],[Customer ID]],customers!$A$1:$A$1001,customers!$I$1:$I$1001,,0)</f>
        <v>Yes</v>
      </c>
    </row>
    <row r="956" spans="1:16" x14ac:dyDescent="0.2">
      <c r="A956" s="2" t="s">
        <v>5884</v>
      </c>
      <c r="B956" s="3">
        <v>44722</v>
      </c>
      <c r="C956" s="2" t="s">
        <v>5764</v>
      </c>
      <c r="D956" t="s">
        <v>6185</v>
      </c>
      <c r="E956" s="2">
        <v>1</v>
      </c>
      <c r="F956" s="2" t="e">
        <f>_xlfn.XLOOKUP(C956,customers!$A955:$A1955,customers!$B955:$B1955,,0)</f>
        <v>#N/A</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5">
        <f>INDEX(products!$A$1:$G$49,MATCH(orders!$D956,products!$A$1:$A$49,0),MATCH(orders!K$1,products!$A$1:$G$1,0))</f>
        <v>2.5</v>
      </c>
      <c r="L956" s="7">
        <f>INDEX(products!$A$1:$G$49,MATCH(orders!$D956,products!$A$1:$A$49,0),MATCH(orders!L$1,products!$A$1:$G$1,0))</f>
        <v>27.945</v>
      </c>
      <c r="M956" s="7">
        <f t="shared" si="42"/>
        <v>27.945</v>
      </c>
      <c r="N956" t="str">
        <f t="shared" si="43"/>
        <v>Excelsa</v>
      </c>
      <c r="O956" t="str">
        <f t="shared" si="44"/>
        <v>Dark</v>
      </c>
      <c r="P956" t="str">
        <f>_xlfn.XLOOKUP(Table1[[#This Row],[Customer ID]],customers!$A$1:$A$1001,customers!$I$1:$I$1001,,0)</f>
        <v>Yes</v>
      </c>
    </row>
    <row r="957" spans="1:16" x14ac:dyDescent="0.2">
      <c r="A957" s="2" t="s">
        <v>5890</v>
      </c>
      <c r="B957" s="3">
        <v>43582</v>
      </c>
      <c r="C957" s="2" t="s">
        <v>5764</v>
      </c>
      <c r="D957" t="s">
        <v>6148</v>
      </c>
      <c r="E957" s="2">
        <v>5</v>
      </c>
      <c r="F957" s="2" t="e">
        <f>_xlfn.XLOOKUP(C957,customers!$A956:$A1956,customers!$B956:$B1956,,0)</f>
        <v>#N/A</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5">
        <f>INDEX(products!$A$1:$G$49,MATCH(orders!$D957,products!$A$1:$A$49,0),MATCH(orders!K$1,products!$A$1:$G$1,0))</f>
        <v>2.5</v>
      </c>
      <c r="L957" s="7">
        <f>INDEX(products!$A$1:$G$49,MATCH(orders!$D957,products!$A$1:$A$49,0),MATCH(orders!L$1,products!$A$1:$G$1,0))</f>
        <v>34.154999999999994</v>
      </c>
      <c r="M957" s="7">
        <f t="shared" si="42"/>
        <v>170.77499999999998</v>
      </c>
      <c r="N957" t="str">
        <f t="shared" si="43"/>
        <v>Excelsa</v>
      </c>
      <c r="O957" t="str">
        <f t="shared" si="44"/>
        <v>Light</v>
      </c>
      <c r="P957" t="str">
        <f>_xlfn.XLOOKUP(Table1[[#This Row],[Customer ID]],customers!$A$1:$A$1001,customers!$I$1:$I$1001,,0)</f>
        <v>Yes</v>
      </c>
    </row>
    <row r="958" spans="1:16" x14ac:dyDescent="0.2">
      <c r="A958" s="2" t="s">
        <v>5890</v>
      </c>
      <c r="B958" s="3">
        <v>43582</v>
      </c>
      <c r="C958" s="2" t="s">
        <v>5764</v>
      </c>
      <c r="D958" t="s">
        <v>6142</v>
      </c>
      <c r="E958" s="2">
        <v>2</v>
      </c>
      <c r="F958" s="2" t="e">
        <f>_xlfn.XLOOKUP(C958,customers!$A957:$A1957,customers!$B957:$B1957,,0)</f>
        <v>#N/A</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5">
        <f>INDEX(products!$A$1:$G$49,MATCH(orders!$D958,products!$A$1:$A$49,0),MATCH(orders!K$1,products!$A$1:$G$1,0))</f>
        <v>2.5</v>
      </c>
      <c r="L958" s="7">
        <f>INDEX(products!$A$1:$G$49,MATCH(orders!$D958,products!$A$1:$A$49,0),MATCH(orders!L$1,products!$A$1:$G$1,0))</f>
        <v>27.484999999999996</v>
      </c>
      <c r="M958" s="7">
        <f t="shared" si="42"/>
        <v>54.969999999999992</v>
      </c>
      <c r="N958" t="str">
        <f t="shared" si="43"/>
        <v>Robusta</v>
      </c>
      <c r="O958" t="str">
        <f t="shared" si="44"/>
        <v>Light</v>
      </c>
      <c r="P958" t="str">
        <f>_xlfn.XLOOKUP(Table1[[#This Row],[Customer ID]],customers!$A$1:$A$1001,customers!$I$1:$I$1001,,0)</f>
        <v>Yes</v>
      </c>
    </row>
    <row r="959" spans="1:16" x14ac:dyDescent="0.2">
      <c r="A959" s="2" t="s">
        <v>5890</v>
      </c>
      <c r="B959" s="3">
        <v>43582</v>
      </c>
      <c r="C959" s="2" t="s">
        <v>5764</v>
      </c>
      <c r="D959" t="s">
        <v>6171</v>
      </c>
      <c r="E959" s="2">
        <v>1</v>
      </c>
      <c r="F959" s="2" t="e">
        <f>_xlfn.XLOOKUP(C959,customers!$A958:$A1958,customers!$B958:$B1958,,0)</f>
        <v>#N/A</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5">
        <f>INDEX(products!$A$1:$G$49,MATCH(orders!$D959,products!$A$1:$A$49,0),MATCH(orders!K$1,products!$A$1:$G$1,0))</f>
        <v>1</v>
      </c>
      <c r="L959" s="7">
        <f>INDEX(products!$A$1:$G$49,MATCH(orders!$D959,products!$A$1:$A$49,0),MATCH(orders!L$1,products!$A$1:$G$1,0))</f>
        <v>14.85</v>
      </c>
      <c r="M959" s="7">
        <f t="shared" si="42"/>
        <v>14.85</v>
      </c>
      <c r="N959" t="str">
        <f t="shared" si="43"/>
        <v>Excelsa</v>
      </c>
      <c r="O959" t="str">
        <f t="shared" si="44"/>
        <v>Light</v>
      </c>
      <c r="P959" t="str">
        <f>_xlfn.XLOOKUP(Table1[[#This Row],[Customer ID]],customers!$A$1:$A$1001,customers!$I$1:$I$1001,,0)</f>
        <v>Yes</v>
      </c>
    </row>
    <row r="960" spans="1:16" x14ac:dyDescent="0.2">
      <c r="A960" s="2" t="s">
        <v>5890</v>
      </c>
      <c r="B960" s="3">
        <v>43582</v>
      </c>
      <c r="C960" s="2" t="s">
        <v>5764</v>
      </c>
      <c r="D960" t="s">
        <v>6167</v>
      </c>
      <c r="E960" s="2">
        <v>2</v>
      </c>
      <c r="F960" s="2" t="e">
        <f>_xlfn.XLOOKUP(C960,customers!$A959:$A1959,customers!$B959:$B1959,,0)</f>
        <v>#N/A</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5">
        <f>INDEX(products!$A$1:$G$49,MATCH(orders!$D960,products!$A$1:$A$49,0),MATCH(orders!K$1,products!$A$1:$G$1,0))</f>
        <v>0.2</v>
      </c>
      <c r="L960" s="7">
        <f>INDEX(products!$A$1:$G$49,MATCH(orders!$D960,products!$A$1:$A$49,0),MATCH(orders!L$1,products!$A$1:$G$1,0))</f>
        <v>3.8849999999999998</v>
      </c>
      <c r="M960" s="7">
        <f t="shared" si="42"/>
        <v>7.77</v>
      </c>
      <c r="N960" t="str">
        <f t="shared" si="43"/>
        <v>Arabica</v>
      </c>
      <c r="O960" t="str">
        <f t="shared" si="44"/>
        <v>Light</v>
      </c>
      <c r="P960" t="str">
        <f>_xlfn.XLOOKUP(Table1[[#This Row],[Customer ID]],customers!$A$1:$A$1001,customers!$I$1:$I$1001,,0)</f>
        <v>Yes</v>
      </c>
    </row>
    <row r="961" spans="1:16" x14ac:dyDescent="0.2">
      <c r="A961" s="2" t="s">
        <v>5910</v>
      </c>
      <c r="B961" s="3">
        <v>44598</v>
      </c>
      <c r="C961" s="2" t="s">
        <v>5911</v>
      </c>
      <c r="D961" t="s">
        <v>6145</v>
      </c>
      <c r="E961" s="2">
        <v>5</v>
      </c>
      <c r="F961" s="2" t="str">
        <f>_xlfn.XLOOKUP(C961,customers!$A960:$A1960,customers!$B960:$B1960,,0)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5">
        <f>INDEX(products!$A$1:$G$49,MATCH(orders!$D961,products!$A$1:$A$49,0),MATCH(orders!K$1,products!$A$1:$G$1,0))</f>
        <v>0.2</v>
      </c>
      <c r="L961" s="7">
        <f>INDEX(products!$A$1:$G$49,MATCH(orders!$D961,products!$A$1:$A$49,0),MATCH(orders!L$1,products!$A$1:$G$1,0))</f>
        <v>4.7549999999999999</v>
      </c>
      <c r="M961" s="7">
        <f t="shared" si="42"/>
        <v>23.774999999999999</v>
      </c>
      <c r="N961" t="str">
        <f t="shared" si="43"/>
        <v>Liberica</v>
      </c>
      <c r="O961" t="str">
        <f t="shared" si="44"/>
        <v>Light</v>
      </c>
      <c r="P961" t="str">
        <f>_xlfn.XLOOKUP(Table1[[#This Row],[Customer ID]],customers!$A$1:$A$1001,customers!$I$1:$I$1001,,0)</f>
        <v>Yes</v>
      </c>
    </row>
    <row r="962" spans="1:16" x14ac:dyDescent="0.2">
      <c r="A962" s="2" t="s">
        <v>5915</v>
      </c>
      <c r="B962" s="3">
        <v>44591</v>
      </c>
      <c r="C962" s="2" t="s">
        <v>5916</v>
      </c>
      <c r="D962" t="s">
        <v>6170</v>
      </c>
      <c r="E962" s="2">
        <v>5</v>
      </c>
      <c r="F962" s="2" t="str">
        <f>_xlfn.XLOOKUP(C962,customers!$A961:$A1961,customers!$B961:$B1961,,0)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5">
        <f>INDEX(products!$A$1:$G$49,MATCH(orders!$D962,products!$A$1:$A$49,0),MATCH(orders!K$1,products!$A$1:$G$1,0))</f>
        <v>1</v>
      </c>
      <c r="L962" s="7">
        <f>INDEX(products!$A$1:$G$49,MATCH(orders!$D962,products!$A$1:$A$49,0),MATCH(orders!L$1,products!$A$1:$G$1,0))</f>
        <v>15.85</v>
      </c>
      <c r="M962" s="7">
        <f t="shared" si="42"/>
        <v>79.25</v>
      </c>
      <c r="N962" t="str">
        <f t="shared" si="43"/>
        <v>Liberica</v>
      </c>
      <c r="O962" t="str">
        <f t="shared" si="44"/>
        <v>Light</v>
      </c>
      <c r="P962" t="str">
        <f>_xlfn.XLOOKUP(Table1[[#This Row],[Customer ID]],customers!$A$1:$A$1001,customers!$I$1:$I$1001,,0)</f>
        <v>Yes</v>
      </c>
    </row>
    <row r="963" spans="1:16" x14ac:dyDescent="0.2">
      <c r="A963" s="2" t="s">
        <v>5921</v>
      </c>
      <c r="B963" s="3">
        <v>44158</v>
      </c>
      <c r="C963" s="2" t="s">
        <v>5922</v>
      </c>
      <c r="D963" t="s">
        <v>6168</v>
      </c>
      <c r="E963" s="2">
        <v>2</v>
      </c>
      <c r="F963" s="2" t="str">
        <f>_xlfn.XLOOKUP(C963,customers!$A962:$A1962,customers!$B962:$B1962,,0)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5">
        <f>INDEX(products!$A$1:$G$49,MATCH(orders!$D963,products!$A$1:$A$49,0),MATCH(orders!K$1,products!$A$1:$G$1,0))</f>
        <v>2.5</v>
      </c>
      <c r="L963" s="7">
        <f>INDEX(products!$A$1:$G$49,MATCH(orders!$D963,products!$A$1:$A$49,0),MATCH(orders!L$1,products!$A$1:$G$1,0))</f>
        <v>22.884999999999998</v>
      </c>
      <c r="M963" s="7">
        <f t="shared" ref="M963:M1001" si="45">L963*E963</f>
        <v>45.769999999999996</v>
      </c>
      <c r="N963" t="str">
        <f t="shared" ref="N963:N1001" si="46">IF(I963="Rob","Robusta",IF(I963="Ara","Arabica",IF(I963="Exc","Excelsa",IF(I963="Lib","Liberica",""))))</f>
        <v>Arabica</v>
      </c>
      <c r="O963" t="str">
        <f t="shared" ref="O963:O1001" si="47">IF(J963="M","Medium",IF(J963="L","Light",IF(J963="D","Dark","")))</f>
        <v>Dark</v>
      </c>
      <c r="P963" t="str">
        <f>_xlfn.XLOOKUP(Table1[[#This Row],[Customer ID]],customers!$A$1:$A$1001,customers!$I$1:$I$1001,,0)</f>
        <v>Yes</v>
      </c>
    </row>
    <row r="964" spans="1:16" x14ac:dyDescent="0.2">
      <c r="A964" s="2" t="s">
        <v>5926</v>
      </c>
      <c r="B964" s="3">
        <v>44664</v>
      </c>
      <c r="C964" s="2" t="s">
        <v>5927</v>
      </c>
      <c r="D964" t="s">
        <v>6177</v>
      </c>
      <c r="E964" s="2">
        <v>1</v>
      </c>
      <c r="F964" s="2" t="str">
        <f>_xlfn.XLOOKUP(C964,customers!$A963:$A1963,customers!$B963:$B1963,,0)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5">
        <f>INDEX(products!$A$1:$G$49,MATCH(orders!$D964,products!$A$1:$A$49,0),MATCH(orders!K$1,products!$A$1:$G$1,0))</f>
        <v>1</v>
      </c>
      <c r="L964" s="7">
        <f>INDEX(products!$A$1:$G$49,MATCH(orders!$D964,products!$A$1:$A$49,0),MATCH(orders!L$1,products!$A$1:$G$1,0))</f>
        <v>8.9499999999999993</v>
      </c>
      <c r="M964" s="7">
        <f t="shared" si="45"/>
        <v>8.9499999999999993</v>
      </c>
      <c r="N964" t="str">
        <f t="shared" si="46"/>
        <v>Robusta</v>
      </c>
      <c r="O964" t="str">
        <f t="shared" si="47"/>
        <v>Dark</v>
      </c>
      <c r="P964" t="str">
        <f>_xlfn.XLOOKUP(Table1[[#This Row],[Customer ID]],customers!$A$1:$A$1001,customers!$I$1:$I$1001,,0)</f>
        <v>Yes</v>
      </c>
    </row>
    <row r="965" spans="1:16" x14ac:dyDescent="0.2">
      <c r="A965" s="2" t="s">
        <v>5932</v>
      </c>
      <c r="B965" s="3">
        <v>44203</v>
      </c>
      <c r="C965" s="2" t="s">
        <v>5933</v>
      </c>
      <c r="D965" t="s">
        <v>6146</v>
      </c>
      <c r="E965" s="2">
        <v>4</v>
      </c>
      <c r="F965" s="2" t="str">
        <f>_xlfn.XLOOKUP(C965,customers!$A964:$A1964,customers!$B964:$B1964,,0)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5">
        <f>INDEX(products!$A$1:$G$49,MATCH(orders!$D965,products!$A$1:$A$49,0),MATCH(orders!K$1,products!$A$1:$G$1,0))</f>
        <v>0.5</v>
      </c>
      <c r="L965" s="7">
        <f>INDEX(products!$A$1:$G$49,MATCH(orders!$D965,products!$A$1:$A$49,0),MATCH(orders!L$1,products!$A$1:$G$1,0))</f>
        <v>5.97</v>
      </c>
      <c r="M965" s="7">
        <f t="shared" si="45"/>
        <v>23.88</v>
      </c>
      <c r="N965" t="str">
        <f t="shared" si="46"/>
        <v>Robusta</v>
      </c>
      <c r="O965" t="str">
        <f t="shared" si="47"/>
        <v>Medium</v>
      </c>
      <c r="P965" t="str">
        <f>_xlfn.XLOOKUP(Table1[[#This Row],[Customer ID]],customers!$A$1:$A$1001,customers!$I$1:$I$1001,,0)</f>
        <v>Yes</v>
      </c>
    </row>
    <row r="966" spans="1:16" x14ac:dyDescent="0.2">
      <c r="A966" s="2" t="s">
        <v>5938</v>
      </c>
      <c r="B966" s="3">
        <v>43865</v>
      </c>
      <c r="C966" s="2" t="s">
        <v>5939</v>
      </c>
      <c r="D966" t="s">
        <v>6184</v>
      </c>
      <c r="E966" s="2">
        <v>5</v>
      </c>
      <c r="F966" s="2" t="str">
        <f>_xlfn.XLOOKUP(C966,customers!$A965:$A1965,customers!$B965:$B1965,,0)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5">
        <f>INDEX(products!$A$1:$G$49,MATCH(orders!$D966,products!$A$1:$A$49,0),MATCH(orders!K$1,products!$A$1:$G$1,0))</f>
        <v>0.2</v>
      </c>
      <c r="L966" s="7">
        <f>INDEX(products!$A$1:$G$49,MATCH(orders!$D966,products!$A$1:$A$49,0),MATCH(orders!L$1,products!$A$1:$G$1,0))</f>
        <v>4.4550000000000001</v>
      </c>
      <c r="M966" s="7">
        <f t="shared" si="45"/>
        <v>22.274999999999999</v>
      </c>
      <c r="N966" t="str">
        <f t="shared" si="46"/>
        <v>Excelsa</v>
      </c>
      <c r="O966" t="str">
        <f t="shared" si="47"/>
        <v>Light</v>
      </c>
      <c r="P966" t="str">
        <f>_xlfn.XLOOKUP(Table1[[#This Row],[Customer ID]],customers!$A$1:$A$1001,customers!$I$1:$I$1001,,0)</f>
        <v>No</v>
      </c>
    </row>
    <row r="967" spans="1:16" x14ac:dyDescent="0.2">
      <c r="A967" s="2" t="s">
        <v>5944</v>
      </c>
      <c r="B967" s="3">
        <v>43724</v>
      </c>
      <c r="C967" s="2" t="s">
        <v>5945</v>
      </c>
      <c r="D967" t="s">
        <v>6138</v>
      </c>
      <c r="E967" s="2">
        <v>3</v>
      </c>
      <c r="F967" s="2" t="str">
        <f>_xlfn.XLOOKUP(C967,customers!$A966:$A1966,customers!$B966:$B1966,,0)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5">
        <f>INDEX(products!$A$1:$G$49,MATCH(orders!$D967,products!$A$1:$A$49,0),MATCH(orders!K$1,products!$A$1:$G$1,0))</f>
        <v>1</v>
      </c>
      <c r="L967" s="7">
        <f>INDEX(products!$A$1:$G$49,MATCH(orders!$D967,products!$A$1:$A$49,0),MATCH(orders!L$1,products!$A$1:$G$1,0))</f>
        <v>9.9499999999999993</v>
      </c>
      <c r="M967" s="7">
        <f t="shared" si="45"/>
        <v>29.849999999999998</v>
      </c>
      <c r="N967" t="str">
        <f t="shared" si="46"/>
        <v>Robusta</v>
      </c>
      <c r="O967" t="str">
        <f t="shared" si="47"/>
        <v>Medium</v>
      </c>
      <c r="P967" t="str">
        <f>_xlfn.XLOOKUP(Table1[[#This Row],[Customer ID]],customers!$A$1:$A$1001,customers!$I$1:$I$1001,,0)</f>
        <v>Yes</v>
      </c>
    </row>
    <row r="968" spans="1:16" x14ac:dyDescent="0.2">
      <c r="A968" s="2" t="s">
        <v>5949</v>
      </c>
      <c r="B968" s="3">
        <v>43491</v>
      </c>
      <c r="C968" s="2" t="s">
        <v>5950</v>
      </c>
      <c r="D968" t="s">
        <v>6176</v>
      </c>
      <c r="E968" s="2">
        <v>6</v>
      </c>
      <c r="F968" s="2" t="str">
        <f>_xlfn.XLOOKUP(C968,customers!$A967:$A1967,customers!$B967:$B1967,,0)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5">
        <f>INDEX(products!$A$1:$G$49,MATCH(orders!$D968,products!$A$1:$A$49,0),MATCH(orders!K$1,products!$A$1:$G$1,0))</f>
        <v>0.5</v>
      </c>
      <c r="L968" s="7">
        <f>INDEX(products!$A$1:$G$49,MATCH(orders!$D968,products!$A$1:$A$49,0),MATCH(orders!L$1,products!$A$1:$G$1,0))</f>
        <v>8.91</v>
      </c>
      <c r="M968" s="7">
        <f t="shared" si="45"/>
        <v>53.46</v>
      </c>
      <c r="N968" t="str">
        <f t="shared" si="46"/>
        <v>Excelsa</v>
      </c>
      <c r="O968" t="str">
        <f t="shared" si="47"/>
        <v>Light</v>
      </c>
      <c r="P968" t="str">
        <f>_xlfn.XLOOKUP(Table1[[#This Row],[Customer ID]],customers!$A$1:$A$1001,customers!$I$1:$I$1001,,0)</f>
        <v>Yes</v>
      </c>
    </row>
    <row r="969" spans="1:16" x14ac:dyDescent="0.2">
      <c r="A969" s="2" t="s">
        <v>5955</v>
      </c>
      <c r="B969" s="3">
        <v>44246</v>
      </c>
      <c r="C969" s="2" t="s">
        <v>5956</v>
      </c>
      <c r="D969" t="s">
        <v>6163</v>
      </c>
      <c r="E969" s="2">
        <v>1</v>
      </c>
      <c r="F969" s="2" t="str">
        <f>_xlfn.XLOOKUP(C969,customers!$A968:$A1968,customers!$B968:$B1968,,0)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5">
        <f>INDEX(products!$A$1:$G$49,MATCH(orders!$D969,products!$A$1:$A$49,0),MATCH(orders!K$1,products!$A$1:$G$1,0))</f>
        <v>0.2</v>
      </c>
      <c r="L969" s="7">
        <f>INDEX(products!$A$1:$G$49,MATCH(orders!$D969,products!$A$1:$A$49,0),MATCH(orders!L$1,products!$A$1:$G$1,0))</f>
        <v>2.6849999999999996</v>
      </c>
      <c r="M969" s="7">
        <f t="shared" si="45"/>
        <v>2.6849999999999996</v>
      </c>
      <c r="N969" t="str">
        <f t="shared" si="46"/>
        <v>Robusta</v>
      </c>
      <c r="O969" t="str">
        <f t="shared" si="47"/>
        <v>Dark</v>
      </c>
      <c r="P969" t="str">
        <f>_xlfn.XLOOKUP(Table1[[#This Row],[Customer ID]],customers!$A$1:$A$1001,customers!$I$1:$I$1001,,0)</f>
        <v>Yes</v>
      </c>
    </row>
    <row r="970" spans="1:16" x14ac:dyDescent="0.2">
      <c r="A970" s="2" t="s">
        <v>5961</v>
      </c>
      <c r="B970" s="3">
        <v>44642</v>
      </c>
      <c r="C970" s="2" t="s">
        <v>5962</v>
      </c>
      <c r="D970" t="s">
        <v>6174</v>
      </c>
      <c r="E970" s="2">
        <v>2</v>
      </c>
      <c r="F970" s="2" t="str">
        <f>_xlfn.XLOOKUP(C970,customers!$A969:$A1969,customers!$B969:$B1969,,0)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5">
        <f>INDEX(products!$A$1:$G$49,MATCH(orders!$D970,products!$A$1:$A$49,0),MATCH(orders!K$1,products!$A$1:$G$1,0))</f>
        <v>0.2</v>
      </c>
      <c r="L970" s="7">
        <f>INDEX(products!$A$1:$G$49,MATCH(orders!$D970,products!$A$1:$A$49,0),MATCH(orders!L$1,products!$A$1:$G$1,0))</f>
        <v>2.9849999999999999</v>
      </c>
      <c r="M970" s="7">
        <f t="shared" si="45"/>
        <v>5.97</v>
      </c>
      <c r="N970" t="str">
        <f t="shared" si="46"/>
        <v>Robusta</v>
      </c>
      <c r="O970" t="str">
        <f t="shared" si="47"/>
        <v>Medium</v>
      </c>
      <c r="P970" t="str">
        <f>_xlfn.XLOOKUP(Table1[[#This Row],[Customer ID]],customers!$A$1:$A$1001,customers!$I$1:$I$1001,,0)</f>
        <v>No</v>
      </c>
    </row>
    <row r="971" spans="1:16" x14ac:dyDescent="0.2">
      <c r="A971" s="2" t="s">
        <v>5967</v>
      </c>
      <c r="B971" s="3">
        <v>43649</v>
      </c>
      <c r="C971" s="2" t="s">
        <v>5968</v>
      </c>
      <c r="D971" t="s">
        <v>6143</v>
      </c>
      <c r="E971" s="2">
        <v>1</v>
      </c>
      <c r="F971" s="2" t="str">
        <f>_xlfn.XLOOKUP(C971,customers!$A970:$A1970,customers!$B970:$B1970,,0)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5">
        <f>INDEX(products!$A$1:$G$49,MATCH(orders!$D971,products!$A$1:$A$49,0),MATCH(orders!K$1,products!$A$1:$G$1,0))</f>
        <v>1</v>
      </c>
      <c r="L971" s="7">
        <f>INDEX(products!$A$1:$G$49,MATCH(orders!$D971,products!$A$1:$A$49,0),MATCH(orders!L$1,products!$A$1:$G$1,0))</f>
        <v>12.95</v>
      </c>
      <c r="M971" s="7">
        <f t="shared" si="45"/>
        <v>12.95</v>
      </c>
      <c r="N971" t="str">
        <f t="shared" si="46"/>
        <v>Liberica</v>
      </c>
      <c r="O971" t="str">
        <f t="shared" si="47"/>
        <v>Dark</v>
      </c>
      <c r="P971" t="str">
        <f>_xlfn.XLOOKUP(Table1[[#This Row],[Customer ID]],customers!$A$1:$A$1001,customers!$I$1:$I$1001,,0)</f>
        <v>Yes</v>
      </c>
    </row>
    <row r="972" spans="1:16" x14ac:dyDescent="0.2">
      <c r="A972" s="2" t="s">
        <v>5973</v>
      </c>
      <c r="B972" s="3">
        <v>43729</v>
      </c>
      <c r="C972" s="2" t="s">
        <v>5974</v>
      </c>
      <c r="D972" t="s">
        <v>6139</v>
      </c>
      <c r="E972" s="2">
        <v>1</v>
      </c>
      <c r="F972" s="2" t="str">
        <f>_xlfn.XLOOKUP(C972,customers!$A971:$A1971,customers!$B971:$B1971,,0)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5">
        <f>INDEX(products!$A$1:$G$49,MATCH(orders!$D972,products!$A$1:$A$49,0),MATCH(orders!K$1,products!$A$1:$G$1,0))</f>
        <v>0.5</v>
      </c>
      <c r="L972" s="7">
        <f>INDEX(products!$A$1:$G$49,MATCH(orders!$D972,products!$A$1:$A$49,0),MATCH(orders!L$1,products!$A$1:$G$1,0))</f>
        <v>8.25</v>
      </c>
      <c r="M972" s="7">
        <f t="shared" si="45"/>
        <v>8.25</v>
      </c>
      <c r="N972" t="str">
        <f t="shared" si="46"/>
        <v>Excelsa</v>
      </c>
      <c r="O972" t="str">
        <f t="shared" si="47"/>
        <v>Medium</v>
      </c>
      <c r="P972" t="str">
        <f>_xlfn.XLOOKUP(Table1[[#This Row],[Customer ID]],customers!$A$1:$A$1001,customers!$I$1:$I$1001,,0)</f>
        <v>No</v>
      </c>
    </row>
    <row r="973" spans="1:16" x14ac:dyDescent="0.2">
      <c r="A973" s="2" t="s">
        <v>5978</v>
      </c>
      <c r="B973" s="3">
        <v>43703</v>
      </c>
      <c r="C973" s="2" t="s">
        <v>5979</v>
      </c>
      <c r="D973" t="s">
        <v>6182</v>
      </c>
      <c r="E973" s="2">
        <v>5</v>
      </c>
      <c r="F973" s="2" t="str">
        <f>_xlfn.XLOOKUP(C973,customers!$A972:$A1972,customers!$B972:$B1972,,0)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5">
        <f>INDEX(products!$A$1:$G$49,MATCH(orders!$D973,products!$A$1:$A$49,0),MATCH(orders!K$1,products!$A$1:$G$1,0))</f>
        <v>2.5</v>
      </c>
      <c r="L973" s="7">
        <f>INDEX(products!$A$1:$G$49,MATCH(orders!$D973,products!$A$1:$A$49,0),MATCH(orders!L$1,products!$A$1:$G$1,0))</f>
        <v>29.784999999999997</v>
      </c>
      <c r="M973" s="7">
        <f t="shared" si="45"/>
        <v>148.92499999999998</v>
      </c>
      <c r="N973" t="str">
        <f t="shared" si="46"/>
        <v>Arabica</v>
      </c>
      <c r="O973" t="str">
        <f t="shared" si="47"/>
        <v>Light</v>
      </c>
      <c r="P973" t="str">
        <f>_xlfn.XLOOKUP(Table1[[#This Row],[Customer ID]],customers!$A$1:$A$1001,customers!$I$1:$I$1001,,0)</f>
        <v>No</v>
      </c>
    </row>
    <row r="974" spans="1:16" x14ac:dyDescent="0.2">
      <c r="A974" s="2" t="s">
        <v>5984</v>
      </c>
      <c r="B974" s="3">
        <v>44411</v>
      </c>
      <c r="C974" s="2" t="s">
        <v>5985</v>
      </c>
      <c r="D974" t="s">
        <v>6182</v>
      </c>
      <c r="E974" s="2">
        <v>3</v>
      </c>
      <c r="F974" s="2" t="str">
        <f>_xlfn.XLOOKUP(C974,customers!$A973:$A1973,customers!$B973:$B1973,,0)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5">
        <f>INDEX(products!$A$1:$G$49,MATCH(orders!$D974,products!$A$1:$A$49,0),MATCH(orders!K$1,products!$A$1:$G$1,0))</f>
        <v>2.5</v>
      </c>
      <c r="L974" s="7">
        <f>INDEX(products!$A$1:$G$49,MATCH(orders!$D974,products!$A$1:$A$49,0),MATCH(orders!L$1,products!$A$1:$G$1,0))</f>
        <v>29.784999999999997</v>
      </c>
      <c r="M974" s="7">
        <f t="shared" si="45"/>
        <v>89.35499999999999</v>
      </c>
      <c r="N974" t="str">
        <f t="shared" si="46"/>
        <v>Arabica</v>
      </c>
      <c r="O974" t="str">
        <f t="shared" si="47"/>
        <v>Light</v>
      </c>
      <c r="P974" t="str">
        <f>_xlfn.XLOOKUP(Table1[[#This Row],[Customer ID]],customers!$A$1:$A$1001,customers!$I$1:$I$1001,,0)</f>
        <v>Yes</v>
      </c>
    </row>
    <row r="975" spans="1:16" x14ac:dyDescent="0.2">
      <c r="A975" s="2" t="s">
        <v>5989</v>
      </c>
      <c r="B975" s="3">
        <v>44493</v>
      </c>
      <c r="C975" s="2" t="s">
        <v>5990</v>
      </c>
      <c r="D975" t="s">
        <v>6162</v>
      </c>
      <c r="E975" s="2">
        <v>6</v>
      </c>
      <c r="F975" s="2" t="str">
        <f>_xlfn.XLOOKUP(C975,customers!$A974:$A1974,customers!$B974:$B1974,,0)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5">
        <f>INDEX(products!$A$1:$G$49,MATCH(orders!$D975,products!$A$1:$A$49,0),MATCH(orders!K$1,products!$A$1:$G$1,0))</f>
        <v>1</v>
      </c>
      <c r="L975" s="7">
        <f>INDEX(products!$A$1:$G$49,MATCH(orders!$D975,products!$A$1:$A$49,0),MATCH(orders!L$1,products!$A$1:$G$1,0))</f>
        <v>14.55</v>
      </c>
      <c r="M975" s="7">
        <f t="shared" si="45"/>
        <v>87.300000000000011</v>
      </c>
      <c r="N975" t="str">
        <f t="shared" si="46"/>
        <v>Liberica</v>
      </c>
      <c r="O975" t="str">
        <f t="shared" si="47"/>
        <v>Medium</v>
      </c>
      <c r="P975" t="str">
        <f>_xlfn.XLOOKUP(Table1[[#This Row],[Customer ID]],customers!$A$1:$A$1001,customers!$I$1:$I$1001,,0)</f>
        <v>No</v>
      </c>
    </row>
    <row r="976" spans="1:16" x14ac:dyDescent="0.2">
      <c r="A976" s="2" t="s">
        <v>5995</v>
      </c>
      <c r="B976" s="3">
        <v>43556</v>
      </c>
      <c r="C976" s="2" t="s">
        <v>5996</v>
      </c>
      <c r="D976" t="s">
        <v>6172</v>
      </c>
      <c r="E976" s="2">
        <v>1</v>
      </c>
      <c r="F976" s="2" t="str">
        <f>_xlfn.XLOOKUP(C976,customers!$A975:$A1975,customers!$B975:$B1975,,0)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5">
        <f>INDEX(products!$A$1:$G$49,MATCH(orders!$D976,products!$A$1:$A$49,0),MATCH(orders!K$1,products!$A$1:$G$1,0))</f>
        <v>0.5</v>
      </c>
      <c r="L976" s="7">
        <f>INDEX(products!$A$1:$G$49,MATCH(orders!$D976,products!$A$1:$A$49,0),MATCH(orders!L$1,products!$A$1:$G$1,0))</f>
        <v>5.3699999999999992</v>
      </c>
      <c r="M976" s="7">
        <f t="shared" si="45"/>
        <v>5.3699999999999992</v>
      </c>
      <c r="N976" t="str">
        <f t="shared" si="46"/>
        <v>Robusta</v>
      </c>
      <c r="O976" t="str">
        <f t="shared" si="47"/>
        <v>Dark</v>
      </c>
      <c r="P976" t="str">
        <f>_xlfn.XLOOKUP(Table1[[#This Row],[Customer ID]],customers!$A$1:$A$1001,customers!$I$1:$I$1001,,0)</f>
        <v>Yes</v>
      </c>
    </row>
    <row r="977" spans="1:16" x14ac:dyDescent="0.2">
      <c r="A977" s="2" t="s">
        <v>6001</v>
      </c>
      <c r="B977" s="3">
        <v>44538</v>
      </c>
      <c r="C977" s="2" t="s">
        <v>6002</v>
      </c>
      <c r="D977" t="s">
        <v>6154</v>
      </c>
      <c r="E977" s="2">
        <v>3</v>
      </c>
      <c r="F977" s="2" t="str">
        <f>_xlfn.XLOOKUP(C977,customers!$A976:$A1976,customers!$B976:$B1976,,0)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5">
        <f>INDEX(products!$A$1:$G$49,MATCH(orders!$D977,products!$A$1:$A$49,0),MATCH(orders!K$1,products!$A$1:$G$1,0))</f>
        <v>0.2</v>
      </c>
      <c r="L977" s="7">
        <f>INDEX(products!$A$1:$G$49,MATCH(orders!$D977,products!$A$1:$A$49,0),MATCH(orders!L$1,products!$A$1:$G$1,0))</f>
        <v>2.9849999999999999</v>
      </c>
      <c r="M977" s="7">
        <f t="shared" si="45"/>
        <v>8.9550000000000001</v>
      </c>
      <c r="N977" t="str">
        <f t="shared" si="46"/>
        <v>Arabica</v>
      </c>
      <c r="O977" t="str">
        <f t="shared" si="47"/>
        <v>Dark</v>
      </c>
      <c r="P977" t="str">
        <f>_xlfn.XLOOKUP(Table1[[#This Row],[Customer ID]],customers!$A$1:$A$1001,customers!$I$1:$I$1001,,0)</f>
        <v>Yes</v>
      </c>
    </row>
    <row r="978" spans="1:16" x14ac:dyDescent="0.2">
      <c r="A978" s="2" t="s">
        <v>6007</v>
      </c>
      <c r="B978" s="3">
        <v>43643</v>
      </c>
      <c r="C978" s="2" t="s">
        <v>6008</v>
      </c>
      <c r="D978" t="s">
        <v>6142</v>
      </c>
      <c r="E978" s="2">
        <v>5</v>
      </c>
      <c r="F978" s="2" t="str">
        <f>_xlfn.XLOOKUP(C978,customers!$A977:$A1977,customers!$B977:$B1977,,0)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5">
        <f>INDEX(products!$A$1:$G$49,MATCH(orders!$D978,products!$A$1:$A$49,0),MATCH(orders!K$1,products!$A$1:$G$1,0))</f>
        <v>2.5</v>
      </c>
      <c r="L978" s="7">
        <f>INDEX(products!$A$1:$G$49,MATCH(orders!$D978,products!$A$1:$A$49,0),MATCH(orders!L$1,products!$A$1:$G$1,0))</f>
        <v>27.484999999999996</v>
      </c>
      <c r="M978" s="7">
        <f t="shared" si="45"/>
        <v>137.42499999999998</v>
      </c>
      <c r="N978" t="str">
        <f t="shared" si="46"/>
        <v>Robusta</v>
      </c>
      <c r="O978" t="str">
        <f t="shared" si="47"/>
        <v>Light</v>
      </c>
      <c r="P978" t="str">
        <f>_xlfn.XLOOKUP(Table1[[#This Row],[Customer ID]],customers!$A$1:$A$1001,customers!$I$1:$I$1001,,0)</f>
        <v>Yes</v>
      </c>
    </row>
    <row r="979" spans="1:16" x14ac:dyDescent="0.2">
      <c r="A979" s="2" t="s">
        <v>6013</v>
      </c>
      <c r="B979" s="3">
        <v>44026</v>
      </c>
      <c r="C979" s="2" t="s">
        <v>6014</v>
      </c>
      <c r="D979" t="s">
        <v>6179</v>
      </c>
      <c r="E979" s="2">
        <v>5</v>
      </c>
      <c r="F979" s="2" t="str">
        <f>_xlfn.XLOOKUP(C979,customers!$A978:$A1978,customers!$B978:$B1978,,0)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5">
        <f>INDEX(products!$A$1:$G$49,MATCH(orders!$D979,products!$A$1:$A$49,0),MATCH(orders!K$1,products!$A$1:$G$1,0))</f>
        <v>1</v>
      </c>
      <c r="L979" s="7">
        <f>INDEX(products!$A$1:$G$49,MATCH(orders!$D979,products!$A$1:$A$49,0),MATCH(orders!L$1,products!$A$1:$G$1,0))</f>
        <v>11.95</v>
      </c>
      <c r="M979" s="7">
        <f t="shared" si="45"/>
        <v>59.75</v>
      </c>
      <c r="N979" t="str">
        <f t="shared" si="46"/>
        <v>Robusta</v>
      </c>
      <c r="O979" t="str">
        <f t="shared" si="47"/>
        <v>Light</v>
      </c>
      <c r="P979" t="str">
        <f>_xlfn.XLOOKUP(Table1[[#This Row],[Customer ID]],customers!$A$1:$A$1001,customers!$I$1:$I$1001,,0)</f>
        <v>No</v>
      </c>
    </row>
    <row r="980" spans="1:16" x14ac:dyDescent="0.2">
      <c r="A980" s="2" t="s">
        <v>6019</v>
      </c>
      <c r="B980" s="3">
        <v>43913</v>
      </c>
      <c r="C980" s="2" t="s">
        <v>5990</v>
      </c>
      <c r="D980" t="s">
        <v>6180</v>
      </c>
      <c r="E980" s="2">
        <v>3</v>
      </c>
      <c r="F980" s="2" t="e">
        <f>_xlfn.XLOOKUP(C980,customers!$A979:$A1979,customers!$B979:$B1979,,0)</f>
        <v>#N/A</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5">
        <f>INDEX(products!$A$1:$G$49,MATCH(orders!$D980,products!$A$1:$A$49,0),MATCH(orders!K$1,products!$A$1:$G$1,0))</f>
        <v>0.5</v>
      </c>
      <c r="L980" s="7">
        <f>INDEX(products!$A$1:$G$49,MATCH(orders!$D980,products!$A$1:$A$49,0),MATCH(orders!L$1,products!$A$1:$G$1,0))</f>
        <v>7.77</v>
      </c>
      <c r="M980" s="7">
        <f t="shared" si="45"/>
        <v>23.31</v>
      </c>
      <c r="N980" t="str">
        <f t="shared" si="46"/>
        <v>Arabica</v>
      </c>
      <c r="O980" t="str">
        <f t="shared" si="47"/>
        <v>Light</v>
      </c>
      <c r="P980" t="str">
        <f>_xlfn.XLOOKUP(Table1[[#This Row],[Customer ID]],customers!$A$1:$A$1001,customers!$I$1:$I$1001,,0)</f>
        <v>No</v>
      </c>
    </row>
    <row r="981" spans="1:16" x14ac:dyDescent="0.2">
      <c r="A981" s="2" t="s">
        <v>6025</v>
      </c>
      <c r="B981" s="3">
        <v>43856</v>
      </c>
      <c r="C981" s="2" t="s">
        <v>6026</v>
      </c>
      <c r="D981" t="s">
        <v>6172</v>
      </c>
      <c r="E981" s="2">
        <v>2</v>
      </c>
      <c r="F981" s="2" t="str">
        <f>_xlfn.XLOOKUP(C981,customers!$A980:$A1980,customers!$B980:$B1980,,0)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5">
        <f>INDEX(products!$A$1:$G$49,MATCH(orders!$D981,products!$A$1:$A$49,0),MATCH(orders!K$1,products!$A$1:$G$1,0))</f>
        <v>0.5</v>
      </c>
      <c r="L981" s="7">
        <f>INDEX(products!$A$1:$G$49,MATCH(orders!$D981,products!$A$1:$A$49,0),MATCH(orders!L$1,products!$A$1:$G$1,0))</f>
        <v>5.3699999999999992</v>
      </c>
      <c r="M981" s="7">
        <f t="shared" si="45"/>
        <v>10.739999999999998</v>
      </c>
      <c r="N981" t="str">
        <f t="shared" si="46"/>
        <v>Robusta</v>
      </c>
      <c r="O981" t="str">
        <f t="shared" si="47"/>
        <v>Dark</v>
      </c>
      <c r="P981" t="str">
        <f>_xlfn.XLOOKUP(Table1[[#This Row],[Customer ID]],customers!$A$1:$A$1001,customers!$I$1:$I$1001,,0)</f>
        <v>No</v>
      </c>
    </row>
    <row r="982" spans="1:16" x14ac:dyDescent="0.2">
      <c r="A982" s="2" t="s">
        <v>6030</v>
      </c>
      <c r="B982" s="3">
        <v>43982</v>
      </c>
      <c r="C982" s="2" t="s">
        <v>6031</v>
      </c>
      <c r="D982" t="s">
        <v>6185</v>
      </c>
      <c r="E982" s="2">
        <v>6</v>
      </c>
      <c r="F982" s="2" t="str">
        <f>_xlfn.XLOOKUP(C982,customers!$A981:$A1981,customers!$B981:$B1981,,0)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5">
        <f>INDEX(products!$A$1:$G$49,MATCH(orders!$D982,products!$A$1:$A$49,0),MATCH(orders!K$1,products!$A$1:$G$1,0))</f>
        <v>2.5</v>
      </c>
      <c r="L982" s="7">
        <f>INDEX(products!$A$1:$G$49,MATCH(orders!$D982,products!$A$1:$A$49,0),MATCH(orders!L$1,products!$A$1:$G$1,0))</f>
        <v>27.945</v>
      </c>
      <c r="M982" s="7">
        <f t="shared" si="45"/>
        <v>167.67000000000002</v>
      </c>
      <c r="N982" t="str">
        <f t="shared" si="46"/>
        <v>Excelsa</v>
      </c>
      <c r="O982" t="str">
        <f t="shared" si="47"/>
        <v>Dark</v>
      </c>
      <c r="P982" t="str">
        <f>_xlfn.XLOOKUP(Table1[[#This Row],[Customer ID]],customers!$A$1:$A$1001,customers!$I$1:$I$1001,,0)</f>
        <v>Yes</v>
      </c>
    </row>
    <row r="983" spans="1:16" x14ac:dyDescent="0.2">
      <c r="A983" s="2" t="s">
        <v>6035</v>
      </c>
      <c r="B983" s="3">
        <v>44397</v>
      </c>
      <c r="C983" s="2" t="s">
        <v>6036</v>
      </c>
      <c r="D983" t="s">
        <v>6153</v>
      </c>
      <c r="E983" s="2">
        <v>6</v>
      </c>
      <c r="F983" s="2" t="str">
        <f>_xlfn.XLOOKUP(C983,customers!$A982:$A1982,customers!$B982:$B1982,,0)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5">
        <f>INDEX(products!$A$1:$G$49,MATCH(orders!$D983,products!$A$1:$A$49,0),MATCH(orders!K$1,products!$A$1:$G$1,0))</f>
        <v>0.2</v>
      </c>
      <c r="L983" s="7">
        <f>INDEX(products!$A$1:$G$49,MATCH(orders!$D983,products!$A$1:$A$49,0),MATCH(orders!L$1,products!$A$1:$G$1,0))</f>
        <v>3.645</v>
      </c>
      <c r="M983" s="7">
        <f t="shared" si="45"/>
        <v>21.87</v>
      </c>
      <c r="N983" t="str">
        <f t="shared" si="46"/>
        <v>Excelsa</v>
      </c>
      <c r="O983" t="str">
        <f t="shared" si="47"/>
        <v>Dark</v>
      </c>
      <c r="P983" t="str">
        <f>_xlfn.XLOOKUP(Table1[[#This Row],[Customer ID]],customers!$A$1:$A$1001,customers!$I$1:$I$1001,,0)</f>
        <v>Yes</v>
      </c>
    </row>
    <row r="984" spans="1:16" x14ac:dyDescent="0.2">
      <c r="A984" s="2" t="s">
        <v>6041</v>
      </c>
      <c r="B984" s="3">
        <v>44785</v>
      </c>
      <c r="C984" s="2" t="s">
        <v>6042</v>
      </c>
      <c r="D984" t="s">
        <v>6179</v>
      </c>
      <c r="E984" s="2">
        <v>2</v>
      </c>
      <c r="F984" s="2" t="str">
        <f>_xlfn.XLOOKUP(C984,customers!$A983:$A1983,customers!$B983:$B1983,,0)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5">
        <f>INDEX(products!$A$1:$G$49,MATCH(orders!$D984,products!$A$1:$A$49,0),MATCH(orders!K$1,products!$A$1:$G$1,0))</f>
        <v>1</v>
      </c>
      <c r="L984" s="7">
        <f>INDEX(products!$A$1:$G$49,MATCH(orders!$D984,products!$A$1:$A$49,0),MATCH(orders!L$1,products!$A$1:$G$1,0))</f>
        <v>11.95</v>
      </c>
      <c r="M984" s="7">
        <f t="shared" si="45"/>
        <v>23.9</v>
      </c>
      <c r="N984" t="str">
        <f t="shared" si="46"/>
        <v>Robusta</v>
      </c>
      <c r="O984" t="str">
        <f t="shared" si="47"/>
        <v>Light</v>
      </c>
      <c r="P984" t="str">
        <f>_xlfn.XLOOKUP(Table1[[#This Row],[Customer ID]],customers!$A$1:$A$1001,customers!$I$1:$I$1001,,0)</f>
        <v>Yes</v>
      </c>
    </row>
    <row r="985" spans="1:16" x14ac:dyDescent="0.2">
      <c r="A985" s="2" t="s">
        <v>6047</v>
      </c>
      <c r="B985" s="3">
        <v>43831</v>
      </c>
      <c r="C985" s="2" t="s">
        <v>6048</v>
      </c>
      <c r="D985" t="s">
        <v>6152</v>
      </c>
      <c r="E985" s="2">
        <v>2</v>
      </c>
      <c r="F985" s="2" t="str">
        <f>_xlfn.XLOOKUP(C985,customers!$A984:$A1984,customers!$B984:$B1984,,0)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5">
        <f>INDEX(products!$A$1:$G$49,MATCH(orders!$D985,products!$A$1:$A$49,0),MATCH(orders!K$1,products!$A$1:$G$1,0))</f>
        <v>0.2</v>
      </c>
      <c r="L985" s="7">
        <f>INDEX(products!$A$1:$G$49,MATCH(orders!$D985,products!$A$1:$A$49,0),MATCH(orders!L$1,products!$A$1:$G$1,0))</f>
        <v>3.375</v>
      </c>
      <c r="M985" s="7">
        <f t="shared" si="45"/>
        <v>6.75</v>
      </c>
      <c r="N985" t="str">
        <f t="shared" si="46"/>
        <v>Arabica</v>
      </c>
      <c r="O985" t="str">
        <f t="shared" si="47"/>
        <v>Medium</v>
      </c>
      <c r="P985" t="str">
        <f>_xlfn.XLOOKUP(Table1[[#This Row],[Customer ID]],customers!$A$1:$A$1001,customers!$I$1:$I$1001,,0)</f>
        <v>Yes</v>
      </c>
    </row>
    <row r="986" spans="1:16" x14ac:dyDescent="0.2">
      <c r="A986" s="2" t="s">
        <v>6053</v>
      </c>
      <c r="B986" s="3">
        <v>44214</v>
      </c>
      <c r="C986" s="2" t="s">
        <v>6054</v>
      </c>
      <c r="D986" t="s">
        <v>6166</v>
      </c>
      <c r="E986" s="2">
        <v>1</v>
      </c>
      <c r="F986" s="2" t="str">
        <f>_xlfn.XLOOKUP(C986,customers!$A985:$A1985,customers!$B985:$B1985,,0)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5">
        <f>INDEX(products!$A$1:$G$49,MATCH(orders!$D986,products!$A$1:$A$49,0),MATCH(orders!K$1,products!$A$1:$G$1,0))</f>
        <v>2.5</v>
      </c>
      <c r="L986" s="7">
        <f>INDEX(products!$A$1:$G$49,MATCH(orders!$D986,products!$A$1:$A$49,0),MATCH(orders!L$1,products!$A$1:$G$1,0))</f>
        <v>31.624999999999996</v>
      </c>
      <c r="M986" s="7">
        <f t="shared" si="45"/>
        <v>31.624999999999996</v>
      </c>
      <c r="N986" t="str">
        <f t="shared" si="46"/>
        <v>Excelsa</v>
      </c>
      <c r="O986" t="str">
        <f t="shared" si="47"/>
        <v>Medium</v>
      </c>
      <c r="P986" t="str">
        <f>_xlfn.XLOOKUP(Table1[[#This Row],[Customer ID]],customers!$A$1:$A$1001,customers!$I$1:$I$1001,,0)</f>
        <v>Yes</v>
      </c>
    </row>
    <row r="987" spans="1:16" x14ac:dyDescent="0.2">
      <c r="A987" s="2" t="s">
        <v>6058</v>
      </c>
      <c r="B987" s="3">
        <v>44561</v>
      </c>
      <c r="C987" s="2" t="s">
        <v>6059</v>
      </c>
      <c r="D987" t="s">
        <v>6179</v>
      </c>
      <c r="E987" s="2">
        <v>4</v>
      </c>
      <c r="F987" s="2" t="str">
        <f>_xlfn.XLOOKUP(C987,customers!$A986:$A1986,customers!$B986:$B1986,,0)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5">
        <f>INDEX(products!$A$1:$G$49,MATCH(orders!$D987,products!$A$1:$A$49,0),MATCH(orders!K$1,products!$A$1:$G$1,0))</f>
        <v>1</v>
      </c>
      <c r="L987" s="7">
        <f>INDEX(products!$A$1:$G$49,MATCH(orders!$D987,products!$A$1:$A$49,0),MATCH(orders!L$1,products!$A$1:$G$1,0))</f>
        <v>11.95</v>
      </c>
      <c r="M987" s="7">
        <f t="shared" si="45"/>
        <v>47.8</v>
      </c>
      <c r="N987" t="str">
        <f t="shared" si="46"/>
        <v>Robusta</v>
      </c>
      <c r="O987" t="str">
        <f t="shared" si="47"/>
        <v>Light</v>
      </c>
      <c r="P987" t="str">
        <f>_xlfn.XLOOKUP(Table1[[#This Row],[Customer ID]],customers!$A$1:$A$1001,customers!$I$1:$I$1001,,0)</f>
        <v>No</v>
      </c>
    </row>
    <row r="988" spans="1:16" x14ac:dyDescent="0.2">
      <c r="A988" s="2" t="s">
        <v>6064</v>
      </c>
      <c r="B988" s="3">
        <v>43955</v>
      </c>
      <c r="C988" s="2" t="s">
        <v>6065</v>
      </c>
      <c r="D988" t="s">
        <v>6181</v>
      </c>
      <c r="E988" s="2">
        <v>1</v>
      </c>
      <c r="F988" s="2" t="str">
        <f>_xlfn.XLOOKUP(C988,customers!$A987:$A1987,customers!$B987:$B1987,,0)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5">
        <f>INDEX(products!$A$1:$G$49,MATCH(orders!$D988,products!$A$1:$A$49,0),MATCH(orders!K$1,products!$A$1:$G$1,0))</f>
        <v>2.5</v>
      </c>
      <c r="L988" s="7">
        <f>INDEX(products!$A$1:$G$49,MATCH(orders!$D988,products!$A$1:$A$49,0),MATCH(orders!L$1,products!$A$1:$G$1,0))</f>
        <v>33.464999999999996</v>
      </c>
      <c r="M988" s="7">
        <f t="shared" si="45"/>
        <v>33.464999999999996</v>
      </c>
      <c r="N988" t="str">
        <f t="shared" si="46"/>
        <v>Liberica</v>
      </c>
      <c r="O988" t="str">
        <f t="shared" si="47"/>
        <v>Medium</v>
      </c>
      <c r="P988" t="str">
        <f>_xlfn.XLOOKUP(Table1[[#This Row],[Customer ID]],customers!$A$1:$A$1001,customers!$I$1:$I$1001,,0)</f>
        <v>No</v>
      </c>
    </row>
    <row r="989" spans="1:16" x14ac:dyDescent="0.2">
      <c r="A989" s="2" t="s">
        <v>6070</v>
      </c>
      <c r="B989" s="3">
        <v>44247</v>
      </c>
      <c r="C989" s="2" t="s">
        <v>6071</v>
      </c>
      <c r="D989" t="s">
        <v>6158</v>
      </c>
      <c r="E989" s="2">
        <v>5</v>
      </c>
      <c r="F989" s="2" t="str">
        <f>_xlfn.XLOOKUP(C989,customers!$A988:$A1988,customers!$B988:$B1988,,0)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5">
        <f>INDEX(products!$A$1:$G$49,MATCH(orders!$D989,products!$A$1:$A$49,0),MATCH(orders!K$1,products!$A$1:$G$1,0))</f>
        <v>0.5</v>
      </c>
      <c r="L989" s="7">
        <f>INDEX(products!$A$1:$G$49,MATCH(orders!$D989,products!$A$1:$A$49,0),MATCH(orders!L$1,products!$A$1:$G$1,0))</f>
        <v>5.97</v>
      </c>
      <c r="M989" s="7">
        <f t="shared" si="45"/>
        <v>29.849999999999998</v>
      </c>
      <c r="N989" t="str">
        <f t="shared" si="46"/>
        <v>Arabica</v>
      </c>
      <c r="O989" t="str">
        <f t="shared" si="47"/>
        <v>Dark</v>
      </c>
      <c r="P989" t="str">
        <f>_xlfn.XLOOKUP(Table1[[#This Row],[Customer ID]],customers!$A$1:$A$1001,customers!$I$1:$I$1001,,0)</f>
        <v>Yes</v>
      </c>
    </row>
    <row r="990" spans="1:16" x14ac:dyDescent="0.2">
      <c r="A990" s="2" t="s">
        <v>6076</v>
      </c>
      <c r="B990" s="3">
        <v>43897</v>
      </c>
      <c r="C990" s="2" t="s">
        <v>6077</v>
      </c>
      <c r="D990" t="s">
        <v>6138</v>
      </c>
      <c r="E990" s="2">
        <v>3</v>
      </c>
      <c r="F990" s="2" t="str">
        <f>_xlfn.XLOOKUP(C990,customers!$A989:$A1989,customers!$B989:$B1989,,0)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5">
        <f>INDEX(products!$A$1:$G$49,MATCH(orders!$D990,products!$A$1:$A$49,0),MATCH(orders!K$1,products!$A$1:$G$1,0))</f>
        <v>1</v>
      </c>
      <c r="L990" s="7">
        <f>INDEX(products!$A$1:$G$49,MATCH(orders!$D990,products!$A$1:$A$49,0),MATCH(orders!L$1,products!$A$1:$G$1,0))</f>
        <v>9.9499999999999993</v>
      </c>
      <c r="M990" s="7">
        <f t="shared" si="45"/>
        <v>29.849999999999998</v>
      </c>
      <c r="N990" t="str">
        <f t="shared" si="46"/>
        <v>Robusta</v>
      </c>
      <c r="O990" t="str">
        <f t="shared" si="47"/>
        <v>Medium</v>
      </c>
      <c r="P990" t="str">
        <f>_xlfn.XLOOKUP(Table1[[#This Row],[Customer ID]],customers!$A$1:$A$1001,customers!$I$1:$I$1001,,0)</f>
        <v>Yes</v>
      </c>
    </row>
    <row r="991" spans="1:16" x14ac:dyDescent="0.2">
      <c r="A991" s="2" t="s">
        <v>6081</v>
      </c>
      <c r="B991" s="3">
        <v>43560</v>
      </c>
      <c r="C991" s="2" t="s">
        <v>6082</v>
      </c>
      <c r="D991" t="s">
        <v>6175</v>
      </c>
      <c r="E991" s="2">
        <v>6</v>
      </c>
      <c r="F991" s="2" t="str">
        <f>_xlfn.XLOOKUP(C991,customers!$A990:$A1990,customers!$B990:$B1990,,0)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5">
        <f>INDEX(products!$A$1:$G$49,MATCH(orders!$D991,products!$A$1:$A$49,0),MATCH(orders!K$1,products!$A$1:$G$1,0))</f>
        <v>2.5</v>
      </c>
      <c r="L991" s="7">
        <f>INDEX(products!$A$1:$G$49,MATCH(orders!$D991,products!$A$1:$A$49,0),MATCH(orders!L$1,products!$A$1:$G$1,0))</f>
        <v>25.874999999999996</v>
      </c>
      <c r="M991" s="7">
        <f t="shared" si="45"/>
        <v>155.24999999999997</v>
      </c>
      <c r="N991" t="str">
        <f t="shared" si="46"/>
        <v>Arabica</v>
      </c>
      <c r="O991" t="str">
        <f t="shared" si="47"/>
        <v>Medium</v>
      </c>
      <c r="P991" t="str">
        <f>_xlfn.XLOOKUP(Table1[[#This Row],[Customer ID]],customers!$A$1:$A$1001,customers!$I$1:$I$1001,,0)</f>
        <v>Yes</v>
      </c>
    </row>
    <row r="992" spans="1:16" x14ac:dyDescent="0.2">
      <c r="A992" s="2" t="s">
        <v>6086</v>
      </c>
      <c r="B992" s="3">
        <v>44718</v>
      </c>
      <c r="C992" s="2" t="s">
        <v>6118</v>
      </c>
      <c r="D992" t="s">
        <v>6153</v>
      </c>
      <c r="E992" s="2">
        <v>5</v>
      </c>
      <c r="F992" s="2" t="str">
        <f>_xlfn.XLOOKUP(C992,customers!$A991:$A1991,customers!$B991:$B1991,,0)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5">
        <f>INDEX(products!$A$1:$G$49,MATCH(orders!$D992,products!$A$1:$A$49,0),MATCH(orders!K$1,products!$A$1:$G$1,0))</f>
        <v>0.2</v>
      </c>
      <c r="L992" s="7">
        <f>INDEX(products!$A$1:$G$49,MATCH(orders!$D992,products!$A$1:$A$49,0),MATCH(orders!L$1,products!$A$1:$G$1,0))</f>
        <v>3.645</v>
      </c>
      <c r="M992" s="7">
        <f t="shared" si="45"/>
        <v>18.225000000000001</v>
      </c>
      <c r="N992" t="str">
        <f t="shared" si="46"/>
        <v>Excelsa</v>
      </c>
      <c r="O992" t="str">
        <f t="shared" si="47"/>
        <v>Dark</v>
      </c>
      <c r="P992" t="str">
        <f>_xlfn.XLOOKUP(Table1[[#This Row],[Customer ID]],customers!$A$1:$A$1001,customers!$I$1:$I$1001,,0)</f>
        <v>No</v>
      </c>
    </row>
    <row r="993" spans="1:16" x14ac:dyDescent="0.2">
      <c r="A993" s="2" t="s">
        <v>6086</v>
      </c>
      <c r="B993" s="3">
        <v>44718</v>
      </c>
      <c r="C993" s="2" t="s">
        <v>6118</v>
      </c>
      <c r="D993" t="s">
        <v>6169</v>
      </c>
      <c r="E993" s="2">
        <v>2</v>
      </c>
      <c r="F993" s="2" t="str">
        <f>_xlfn.XLOOKUP(C993,customers!$A992:$A1992,customers!$B992:$B1992,,0)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5">
        <f>INDEX(products!$A$1:$G$49,MATCH(orders!$D993,products!$A$1:$A$49,0),MATCH(orders!K$1,products!$A$1:$G$1,0))</f>
        <v>0.5</v>
      </c>
      <c r="L993" s="7">
        <f>INDEX(products!$A$1:$G$49,MATCH(orders!$D993,products!$A$1:$A$49,0),MATCH(orders!L$1,products!$A$1:$G$1,0))</f>
        <v>7.77</v>
      </c>
      <c r="M993" s="7">
        <f t="shared" si="45"/>
        <v>15.54</v>
      </c>
      <c r="N993" t="str">
        <f t="shared" si="46"/>
        <v>Liberica</v>
      </c>
      <c r="O993" t="str">
        <f t="shared" si="47"/>
        <v>Dark</v>
      </c>
      <c r="P993" t="str">
        <f>_xlfn.XLOOKUP(Table1[[#This Row],[Customer ID]],customers!$A$1:$A$1001,customers!$I$1:$I$1001,,0)</f>
        <v>No</v>
      </c>
    </row>
    <row r="994" spans="1:16" x14ac:dyDescent="0.2">
      <c r="A994" s="2" t="s">
        <v>6096</v>
      </c>
      <c r="B994" s="3">
        <v>44276</v>
      </c>
      <c r="C994" s="2" t="s">
        <v>6097</v>
      </c>
      <c r="D994" t="s">
        <v>6164</v>
      </c>
      <c r="E994" s="2">
        <v>3</v>
      </c>
      <c r="F994" s="2" t="str">
        <f>_xlfn.XLOOKUP(C994,customers!$A993:$A1993,customers!$B993:$B1993,,0)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5">
        <f>INDEX(products!$A$1:$G$49,MATCH(orders!$D994,products!$A$1:$A$49,0),MATCH(orders!K$1,products!$A$1:$G$1,0))</f>
        <v>2.5</v>
      </c>
      <c r="L994" s="7">
        <f>INDEX(products!$A$1:$G$49,MATCH(orders!$D994,products!$A$1:$A$49,0),MATCH(orders!L$1,products!$A$1:$G$1,0))</f>
        <v>36.454999999999998</v>
      </c>
      <c r="M994" s="7">
        <f t="shared" si="45"/>
        <v>109.36499999999999</v>
      </c>
      <c r="N994" t="str">
        <f t="shared" si="46"/>
        <v>Liberica</v>
      </c>
      <c r="O994" t="str">
        <f t="shared" si="47"/>
        <v>Light</v>
      </c>
      <c r="P994" t="str">
        <f>_xlfn.XLOOKUP(Table1[[#This Row],[Customer ID]],customers!$A$1:$A$1001,customers!$I$1:$I$1001,,0)</f>
        <v>No</v>
      </c>
    </row>
    <row r="995" spans="1:16" x14ac:dyDescent="0.2">
      <c r="A995" s="2" t="s">
        <v>6101</v>
      </c>
      <c r="B995" s="3">
        <v>44549</v>
      </c>
      <c r="C995" s="2" t="s">
        <v>6102</v>
      </c>
      <c r="D995" t="s">
        <v>6140</v>
      </c>
      <c r="E995" s="2">
        <v>6</v>
      </c>
      <c r="F995" s="2" t="str">
        <f>_xlfn.XLOOKUP(C995,customers!$A994:$A1994,customers!$B994:$B1994,,0)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5">
        <f>INDEX(products!$A$1:$G$49,MATCH(orders!$D995,products!$A$1:$A$49,0),MATCH(orders!K$1,products!$A$1:$G$1,0))</f>
        <v>1</v>
      </c>
      <c r="L995" s="7">
        <f>INDEX(products!$A$1:$G$49,MATCH(orders!$D995,products!$A$1:$A$49,0),MATCH(orders!L$1,products!$A$1:$G$1,0))</f>
        <v>12.95</v>
      </c>
      <c r="M995" s="7">
        <f t="shared" si="45"/>
        <v>77.699999999999989</v>
      </c>
      <c r="N995" t="str">
        <f t="shared" si="46"/>
        <v>Arabica</v>
      </c>
      <c r="O995" t="str">
        <f t="shared" si="47"/>
        <v>Light</v>
      </c>
      <c r="P995" t="str">
        <f>_xlfn.XLOOKUP(Table1[[#This Row],[Customer ID]],customers!$A$1:$A$1001,customers!$I$1:$I$1001,,0)</f>
        <v>No</v>
      </c>
    </row>
    <row r="996" spans="1:16" x14ac:dyDescent="0.2">
      <c r="A996" s="2" t="s">
        <v>6106</v>
      </c>
      <c r="B996" s="3">
        <v>44244</v>
      </c>
      <c r="C996" s="2" t="s">
        <v>6107</v>
      </c>
      <c r="D996" t="s">
        <v>6154</v>
      </c>
      <c r="E996" s="2">
        <v>3</v>
      </c>
      <c r="F996" s="2" t="str">
        <f>_xlfn.XLOOKUP(C996,customers!$A995:$A1995,customers!$B995:$B1995,,0)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5">
        <f>INDEX(products!$A$1:$G$49,MATCH(orders!$D996,products!$A$1:$A$49,0),MATCH(orders!K$1,products!$A$1:$G$1,0))</f>
        <v>0.2</v>
      </c>
      <c r="L996" s="7">
        <f>INDEX(products!$A$1:$G$49,MATCH(orders!$D996,products!$A$1:$A$49,0),MATCH(orders!L$1,products!$A$1:$G$1,0))</f>
        <v>2.9849999999999999</v>
      </c>
      <c r="M996" s="7">
        <f t="shared" si="45"/>
        <v>8.9550000000000001</v>
      </c>
      <c r="N996" t="str">
        <f t="shared" si="46"/>
        <v>Arabica</v>
      </c>
      <c r="O996" t="str">
        <f t="shared" si="47"/>
        <v>Dark</v>
      </c>
      <c r="P996" t="str">
        <f>_xlfn.XLOOKUP(Table1[[#This Row],[Customer ID]],customers!$A$1:$A$1001,customers!$I$1:$I$1001,,0)</f>
        <v>No</v>
      </c>
    </row>
    <row r="997" spans="1:16" x14ac:dyDescent="0.2">
      <c r="A997" s="2" t="s">
        <v>6111</v>
      </c>
      <c r="B997" s="3">
        <v>43836</v>
      </c>
      <c r="C997" s="2" t="s">
        <v>6112</v>
      </c>
      <c r="D997" t="s">
        <v>6142</v>
      </c>
      <c r="E997" s="2">
        <v>1</v>
      </c>
      <c r="F997" s="2" t="str">
        <f>_xlfn.XLOOKUP(C997,customers!$A996:$A1996,customers!$B996:$B1996,,0)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5">
        <f>INDEX(products!$A$1:$G$49,MATCH(orders!$D997,products!$A$1:$A$49,0),MATCH(orders!K$1,products!$A$1:$G$1,0))</f>
        <v>2.5</v>
      </c>
      <c r="L997" s="7">
        <f>INDEX(products!$A$1:$G$49,MATCH(orders!$D997,products!$A$1:$A$49,0),MATCH(orders!L$1,products!$A$1:$G$1,0))</f>
        <v>27.484999999999996</v>
      </c>
      <c r="M997" s="7">
        <f t="shared" si="45"/>
        <v>27.484999999999996</v>
      </c>
      <c r="N997" t="str">
        <f t="shared" si="46"/>
        <v>Robusta</v>
      </c>
      <c r="O997" t="str">
        <f t="shared" si="47"/>
        <v>Light</v>
      </c>
      <c r="P997" t="str">
        <f>_xlfn.XLOOKUP(Table1[[#This Row],[Customer ID]],customers!$A$1:$A$1001,customers!$I$1:$I$1001,,0)</f>
        <v>No</v>
      </c>
    </row>
    <row r="998" spans="1:16" x14ac:dyDescent="0.2">
      <c r="A998" s="2" t="s">
        <v>6117</v>
      </c>
      <c r="B998" s="3">
        <v>44685</v>
      </c>
      <c r="C998" s="2" t="s">
        <v>6118</v>
      </c>
      <c r="D998" t="s">
        <v>6146</v>
      </c>
      <c r="E998" s="2">
        <v>5</v>
      </c>
      <c r="F998" s="2" t="str">
        <f>_xlfn.XLOOKUP(C998,customers!$A997:$A1997,customers!$B997:$B1997,,0)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5">
        <f>INDEX(products!$A$1:$G$49,MATCH(orders!$D998,products!$A$1:$A$49,0),MATCH(orders!K$1,products!$A$1:$G$1,0))</f>
        <v>0.5</v>
      </c>
      <c r="L998" s="7">
        <f>INDEX(products!$A$1:$G$49,MATCH(orders!$D998,products!$A$1:$A$49,0),MATCH(orders!L$1,products!$A$1:$G$1,0))</f>
        <v>5.97</v>
      </c>
      <c r="M998" s="7">
        <f t="shared" si="45"/>
        <v>29.849999999999998</v>
      </c>
      <c r="N998" t="str">
        <f t="shared" si="46"/>
        <v>Robusta</v>
      </c>
      <c r="O998" t="str">
        <f t="shared" si="47"/>
        <v>Medium</v>
      </c>
      <c r="P998" t="str">
        <f>_xlfn.XLOOKUP(Table1[[#This Row],[Customer ID]],customers!$A$1:$A$1001,customers!$I$1:$I$1001,,0)</f>
        <v>No</v>
      </c>
    </row>
    <row r="999" spans="1:16" x14ac:dyDescent="0.2">
      <c r="A999" s="2" t="s">
        <v>6122</v>
      </c>
      <c r="B999" s="3">
        <v>43749</v>
      </c>
      <c r="C999" s="2" t="s">
        <v>6118</v>
      </c>
      <c r="D999" t="s">
        <v>6157</v>
      </c>
      <c r="E999" s="2">
        <v>4</v>
      </c>
      <c r="F999" s="2" t="str">
        <f>_xlfn.XLOOKUP(C999,customers!$A998:$A1998,customers!$B998:$B1998,,0)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5">
        <f>INDEX(products!$A$1:$G$49,MATCH(orders!$D999,products!$A$1:$A$49,0),MATCH(orders!K$1,products!$A$1:$G$1,0))</f>
        <v>0.5</v>
      </c>
      <c r="L999" s="7">
        <f>INDEX(products!$A$1:$G$49,MATCH(orders!$D999,products!$A$1:$A$49,0),MATCH(orders!L$1,products!$A$1:$G$1,0))</f>
        <v>6.75</v>
      </c>
      <c r="M999" s="7">
        <f t="shared" si="45"/>
        <v>27</v>
      </c>
      <c r="N999" t="str">
        <f t="shared" si="46"/>
        <v>Arabica</v>
      </c>
      <c r="O999" t="str">
        <f t="shared" si="47"/>
        <v>Medium</v>
      </c>
      <c r="P999" t="str">
        <f>_xlfn.XLOOKUP(Table1[[#This Row],[Customer ID]],customers!$A$1:$A$1001,customers!$I$1:$I$1001,,0)</f>
        <v>No</v>
      </c>
    </row>
    <row r="1000" spans="1:16" x14ac:dyDescent="0.2">
      <c r="A1000" s="2" t="s">
        <v>6127</v>
      </c>
      <c r="B1000" s="3">
        <v>44411</v>
      </c>
      <c r="C1000" s="2" t="s">
        <v>6128</v>
      </c>
      <c r="D1000" t="s">
        <v>6147</v>
      </c>
      <c r="E1000" s="2">
        <v>1</v>
      </c>
      <c r="F1000" s="2" t="str">
        <f>_xlfn.XLOOKUP(C1000,customers!$A999:$A1999,customers!$B999:$B1999,,0)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5">
        <f>INDEX(products!$A$1:$G$49,MATCH(orders!$D1000,products!$A$1:$A$49,0),MATCH(orders!K$1,products!$A$1:$G$1,0))</f>
        <v>1</v>
      </c>
      <c r="L1000" s="7">
        <f>INDEX(products!$A$1:$G$49,MATCH(orders!$D1000,products!$A$1:$A$49,0),MATCH(orders!L$1,products!$A$1:$G$1,0))</f>
        <v>9.9499999999999993</v>
      </c>
      <c r="M1000" s="7">
        <f t="shared" si="45"/>
        <v>9.9499999999999993</v>
      </c>
      <c r="N1000" t="str">
        <f t="shared" si="46"/>
        <v>Arabica</v>
      </c>
      <c r="O1000" t="str">
        <f t="shared" si="47"/>
        <v>Dark</v>
      </c>
      <c r="P1000" t="str">
        <f>_xlfn.XLOOKUP(Table1[[#This Row],[Customer ID]],customers!$A$1:$A$1001,customers!$I$1:$I$1001,,0)</f>
        <v>No</v>
      </c>
    </row>
    <row r="1001" spans="1:16" x14ac:dyDescent="0.2">
      <c r="A1001" s="2" t="s">
        <v>6133</v>
      </c>
      <c r="B1001" s="3">
        <v>44119</v>
      </c>
      <c r="C1001" s="2" t="s">
        <v>6134</v>
      </c>
      <c r="D1001" t="s">
        <v>6156</v>
      </c>
      <c r="E1001" s="2">
        <v>3</v>
      </c>
      <c r="F1001" s="2" t="str">
        <f>_xlfn.XLOOKUP(C1001,customers!$A1000:$A2000,customers!$B1000:$B2000,,0)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5">
        <f>INDEX(products!$A$1:$G$49,MATCH(orders!$D1001,products!$A$1:$A$49,0),MATCH(orders!K$1,products!$A$1:$G$1,0))</f>
        <v>0.2</v>
      </c>
      <c r="L1001" s="7">
        <f>INDEX(products!$A$1:$G$49,MATCH(orders!$D1001,products!$A$1:$A$49,0),MATCH(orders!L$1,products!$A$1:$G$1,0))</f>
        <v>4.125</v>
      </c>
      <c r="M1001" s="7">
        <f t="shared" si="45"/>
        <v>12.375</v>
      </c>
      <c r="N1001" t="str">
        <f t="shared" si="46"/>
        <v>Excelsa</v>
      </c>
      <c r="O1001" t="str">
        <f t="shared" si="47"/>
        <v>Medium</v>
      </c>
      <c r="P1001" t="str">
        <f>_xlfn.XLOOKUP(Table1[[#This Row],[Customer ID]],customers!$A$1:$A$1001,customers!$I$1:$I$1001,,0)</f>
        <v>Yes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59" workbookViewId="0">
      <selection activeCell="A2" sqref="A2:A1001"/>
    </sheetView>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75832-4264-4444-84D7-7C1521E2FD5B}">
  <dimension ref="A1:E2"/>
  <sheetViews>
    <sheetView workbookViewId="0">
      <selection activeCell="B2" sqref="B2:V5"/>
    </sheetView>
  </sheetViews>
  <sheetFormatPr baseColWidth="10" defaultRowHeight="15" x14ac:dyDescent="0.2"/>
  <cols>
    <col min="1" max="5" width="16.6640625" customWidth="1"/>
  </cols>
  <sheetData>
    <row r="1" spans="1:5" x14ac:dyDescent="0.2">
      <c r="A1" s="8" t="s">
        <v>6198</v>
      </c>
      <c r="B1" s="9" t="s">
        <v>6199</v>
      </c>
      <c r="C1" s="9" t="s">
        <v>6200</v>
      </c>
      <c r="D1" s="8" t="s">
        <v>2</v>
      </c>
      <c r="E1" s="8" t="s">
        <v>6201</v>
      </c>
    </row>
    <row r="2" spans="1:5" x14ac:dyDescent="0.2">
      <c r="A2" s="8"/>
      <c r="B2" s="9"/>
      <c r="C2" s="9"/>
      <c r="D2" s="8"/>
      <c r="E2" s="8"/>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orders</vt:lpstr>
      <vt:lpstr>customers</vt:lpstr>
      <vt:lpstr>products</vt:lpstr>
      <vt:lpstr>Form1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hms133200@gmail.com</cp:lastModifiedBy>
  <cp:revision/>
  <dcterms:created xsi:type="dcterms:W3CDTF">2022-11-26T09:51:45Z</dcterms:created>
  <dcterms:modified xsi:type="dcterms:W3CDTF">2025-10-18T20:47:04Z</dcterms:modified>
  <cp:category/>
  <cp:contentStatus/>
</cp:coreProperties>
</file>